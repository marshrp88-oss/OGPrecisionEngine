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marsh\Desktop\"/>
    </mc:Choice>
  </mc:AlternateContent>
  <xr:revisionPtr revIDLastSave="0" documentId="8_{595CA16C-1538-4D7B-917B-CE8B724E374A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Bills" sheetId="2" r:id="rId1"/>
    <sheet name="Dashboard" sheetId="4" r:id="rId2"/>
    <sheet name="Commissions" sheetId="6" r:id="rId3"/>
    <sheet name="Decision Sandbox" sheetId="7" r:id="rId4"/>
    <sheet name="Wealth Management 2026" sheetId="5" r:id="rId5"/>
    <sheet name="Assumptions" sheetId="8" r:id="rId6"/>
    <sheet name="Debt Strategy" sheetId="9" r:id="rId7"/>
    <sheet name="Retirement Planning" sheetId="10" r:id="rId8"/>
  </sheets>
  <definedNames>
    <definedName name="_xlnm.Print_Area" localSheetId="1">Dashboard!$A$1:$C$33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H2" i="2"/>
  <c r="D3" i="2"/>
  <c r="H3" i="2"/>
  <c r="D4" i="2"/>
  <c r="H4" i="2"/>
  <c r="D5" i="2"/>
  <c r="H5" i="2"/>
  <c r="D6" i="2"/>
  <c r="H6" i="2"/>
  <c r="D7" i="2"/>
  <c r="H7" i="2"/>
  <c r="D8" i="2"/>
  <c r="H8" i="2"/>
  <c r="D9" i="2"/>
  <c r="H9" i="2"/>
  <c r="D10" i="2"/>
  <c r="H10" i="2"/>
  <c r="D11" i="2"/>
  <c r="H11" i="2"/>
  <c r="H12" i="2"/>
  <c r="D13" i="2"/>
  <c r="H13" i="2"/>
  <c r="B11" i="4"/>
  <c r="B40" i="4" a="1"/>
  <c r="B40" i="4"/>
  <c r="B16" i="4"/>
  <c r="B19" i="4"/>
  <c r="B25" i="4"/>
  <c r="E26" i="7"/>
  <c r="D26" i="7"/>
  <c r="C26" i="7"/>
  <c r="B26" i="7"/>
  <c r="B66" i="4"/>
  <c r="B65" i="4"/>
  <c r="D28" i="8"/>
  <c r="B33" i="4"/>
  <c r="D26" i="8"/>
  <c r="B57" i="4"/>
  <c r="B80" i="2" a="1"/>
  <c r="B80" i="2"/>
  <c r="O12" i="2" a="1"/>
  <c r="O12" i="2"/>
  <c r="A99" i="2" a="1"/>
  <c r="A99" i="2"/>
  <c r="B99" i="2"/>
  <c r="C99" i="2"/>
  <c r="A98" i="2" a="1"/>
  <c r="A98" i="2"/>
  <c r="B98" i="2"/>
  <c r="C98" i="2"/>
  <c r="A97" i="2" a="1"/>
  <c r="A97" i="2"/>
  <c r="B97" i="2"/>
  <c r="C97" i="2"/>
  <c r="A96" i="2" a="1"/>
  <c r="A96" i="2"/>
  <c r="B96" i="2"/>
  <c r="C96" i="2"/>
  <c r="A95" i="2" a="1"/>
  <c r="A95" i="2"/>
  <c r="B95" i="2"/>
  <c r="C95" i="2"/>
  <c r="B88" i="2"/>
  <c r="B89" i="2"/>
  <c r="B90" i="2"/>
  <c r="B91" i="2"/>
  <c r="B105" i="2"/>
  <c r="B49" i="2"/>
  <c r="B51" i="2"/>
  <c r="B32" i="2"/>
  <c r="B33" i="2"/>
  <c r="B34" i="2"/>
  <c r="B35" i="2"/>
  <c r="E25" i="2"/>
  <c r="E26" i="2"/>
  <c r="E27" i="2"/>
  <c r="E28" i="2"/>
  <c r="B25" i="2"/>
  <c r="B26" i="2"/>
  <c r="B27" i="2"/>
  <c r="B28" i="2"/>
  <c r="B16" i="2"/>
  <c r="B17" i="2"/>
  <c r="B19" i="2"/>
  <c r="B20" i="2"/>
  <c r="B102" i="2"/>
  <c r="B21" i="2"/>
  <c r="M13" i="2"/>
  <c r="M12" i="2"/>
  <c r="M11" i="2"/>
  <c r="M10" i="2"/>
  <c r="M9" i="2"/>
  <c r="M8" i="2"/>
  <c r="M7" i="2"/>
  <c r="M6" i="2"/>
  <c r="M5" i="2"/>
  <c r="M4" i="2"/>
  <c r="M3" i="2"/>
  <c r="M2" i="2"/>
  <c r="B65" i="5" a="1"/>
  <c r="B65" i="5"/>
  <c r="B64" i="5" a="1"/>
  <c r="B64" i="5"/>
  <c r="B63" i="5" a="1"/>
  <c r="B63" i="5"/>
  <c r="B62" i="5" a="1"/>
  <c r="B62" i="5"/>
  <c r="A59" i="5"/>
  <c r="A58" i="5"/>
  <c r="A57" i="5"/>
  <c r="A56" i="5"/>
  <c r="A55" i="5"/>
  <c r="A54" i="5"/>
  <c r="A53" i="5"/>
  <c r="A52" i="5"/>
  <c r="A51" i="5"/>
  <c r="A50" i="5"/>
  <c r="A49" i="5"/>
  <c r="A48" i="5"/>
  <c r="D29" i="8"/>
  <c r="B5" i="7"/>
  <c r="B34" i="5"/>
  <c r="H26" i="5"/>
  <c r="H22" i="5"/>
  <c r="B20" i="5" a="1"/>
  <c r="B20" i="5"/>
  <c r="B19" i="5"/>
  <c r="I5" i="5"/>
  <c r="C49" i="5"/>
  <c r="I6" i="5"/>
  <c r="C50" i="5"/>
  <c r="I7" i="5"/>
  <c r="C51" i="5"/>
  <c r="I8" i="5"/>
  <c r="C52" i="5"/>
  <c r="I9" i="5"/>
  <c r="C53" i="5"/>
  <c r="I10" i="5"/>
  <c r="C54" i="5"/>
  <c r="I11" i="5"/>
  <c r="C55" i="5"/>
  <c r="I12" i="5"/>
  <c r="C56" i="5"/>
  <c r="I13" i="5"/>
  <c r="C57" i="5"/>
  <c r="I14" i="5"/>
  <c r="C58" i="5"/>
  <c r="I15" i="5"/>
  <c r="C59" i="5"/>
  <c r="F5" i="5"/>
  <c r="F6" i="5"/>
  <c r="F7" i="5"/>
  <c r="F8" i="5"/>
  <c r="F9" i="5"/>
  <c r="F10" i="5"/>
  <c r="F11" i="5"/>
  <c r="F12" i="5"/>
  <c r="F13" i="5"/>
  <c r="F14" i="5"/>
  <c r="B58" i="5"/>
  <c r="F15" i="5"/>
  <c r="B59" i="5"/>
  <c r="I4" i="5"/>
  <c r="C48" i="5"/>
  <c r="F4" i="5"/>
  <c r="B51" i="7"/>
  <c r="B39" i="7"/>
  <c r="B33" i="7"/>
  <c r="E27" i="7"/>
  <c r="E22" i="7"/>
  <c r="E29" i="7"/>
  <c r="E21" i="7"/>
  <c r="D27" i="7"/>
  <c r="D22" i="7"/>
  <c r="D29" i="7"/>
  <c r="D21" i="7"/>
  <c r="C21" i="7"/>
  <c r="B21" i="7"/>
  <c r="B9" i="7"/>
  <c r="G15" i="6"/>
  <c r="G16" i="6"/>
  <c r="G17" i="6"/>
  <c r="G18" i="6"/>
  <c r="G19" i="6"/>
  <c r="G20" i="6"/>
  <c r="G21" i="6"/>
  <c r="G22" i="6"/>
  <c r="F15" i="6"/>
  <c r="F16" i="6"/>
  <c r="F17" i="6"/>
  <c r="F18" i="6"/>
  <c r="F19" i="6"/>
  <c r="F20" i="6"/>
  <c r="F21" i="6"/>
  <c r="F22" i="6"/>
  <c r="E12" i="6"/>
  <c r="E13" i="6"/>
  <c r="E14" i="6"/>
  <c r="E15" i="6"/>
  <c r="E16" i="6"/>
  <c r="E17" i="6"/>
  <c r="E18" i="6"/>
  <c r="E19" i="6"/>
  <c r="E20" i="6"/>
  <c r="E21" i="6"/>
  <c r="E22" i="6"/>
  <c r="E11" i="6"/>
  <c r="D12" i="6"/>
  <c r="F12" i="6"/>
  <c r="D13" i="6"/>
  <c r="F13" i="6"/>
  <c r="D14" i="6"/>
  <c r="F14" i="6"/>
  <c r="D15" i="6"/>
  <c r="D16" i="6"/>
  <c r="D17" i="6"/>
  <c r="D18" i="6"/>
  <c r="D19" i="6"/>
  <c r="D20" i="6"/>
  <c r="D21" i="6"/>
  <c r="D22" i="6"/>
  <c r="D11" i="6"/>
  <c r="F11" i="6"/>
  <c r="H12" i="6"/>
  <c r="H13" i="6"/>
  <c r="H14" i="6"/>
  <c r="H15" i="6"/>
  <c r="H16" i="6"/>
  <c r="H17" i="6"/>
  <c r="H18" i="6"/>
  <c r="H19" i="6"/>
  <c r="H20" i="6"/>
  <c r="H21" i="6"/>
  <c r="H22" i="6"/>
  <c r="H11" i="6"/>
  <c r="E5" i="6"/>
  <c r="B8" i="6"/>
  <c r="B5" i="6"/>
  <c r="B58" i="4"/>
  <c r="B13" i="9"/>
  <c r="B12" i="10"/>
  <c r="B43" i="4"/>
  <c r="B54" i="4"/>
  <c r="B56" i="8"/>
  <c r="B60" i="8"/>
  <c r="B38" i="8"/>
  <c r="D32" i="8"/>
  <c r="D27" i="8"/>
  <c r="D25" i="8"/>
  <c r="D24" i="8"/>
  <c r="D23" i="8"/>
  <c r="D22" i="8"/>
  <c r="D21" i="8"/>
  <c r="B43" i="10"/>
  <c r="B39" i="10"/>
  <c r="B22" i="10"/>
  <c r="B21" i="10"/>
  <c r="B19" i="10"/>
  <c r="B16" i="10"/>
  <c r="B43" i="9"/>
  <c r="B44" i="9"/>
  <c r="B38" i="9"/>
  <c r="B39" i="9"/>
  <c r="B33" i="9"/>
  <c r="B24" i="9"/>
  <c r="B25" i="9"/>
  <c r="B26" i="9"/>
  <c r="B19" i="9"/>
  <c r="B20" i="9"/>
  <c r="B21" i="9"/>
  <c r="B1" i="4"/>
  <c r="B49" i="4"/>
  <c r="B50" i="4"/>
  <c r="B59" i="4"/>
  <c r="B51" i="4"/>
  <c r="B60" i="4"/>
  <c r="I12" i="2"/>
  <c r="B14" i="4"/>
  <c r="B26" i="4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D58" i="2"/>
  <c r="D57" i="2"/>
  <c r="D56" i="2"/>
  <c r="D55" i="2"/>
  <c r="D54" i="2"/>
  <c r="D53" i="2"/>
  <c r="D52" i="2"/>
  <c r="D51" i="2"/>
  <c r="D50" i="2"/>
  <c r="D49" i="2"/>
  <c r="D47" i="2"/>
  <c r="D38" i="2"/>
  <c r="D37" i="2"/>
  <c r="D36" i="2"/>
  <c r="D35" i="2"/>
  <c r="D34" i="2"/>
  <c r="D33" i="2"/>
  <c r="D32" i="2"/>
  <c r="D30" i="2"/>
  <c r="D29" i="2"/>
  <c r="D22" i="2"/>
  <c r="D21" i="2"/>
  <c r="D20" i="2"/>
  <c r="D19" i="2"/>
  <c r="D18" i="2"/>
  <c r="D17" i="2"/>
  <c r="D16" i="2"/>
  <c r="D14" i="2"/>
  <c r="O13" i="2" a="1"/>
  <c r="O13" i="2"/>
  <c r="O6" i="2" a="1"/>
  <c r="O6" i="2"/>
  <c r="B18" i="2"/>
  <c r="G12" i="6"/>
  <c r="G13" i="6"/>
  <c r="B55" i="4"/>
  <c r="B25" i="5"/>
  <c r="G11" i="6"/>
  <c r="B24" i="10"/>
  <c r="J5" i="5"/>
  <c r="B49" i="5"/>
  <c r="J6" i="5"/>
  <c r="B50" i="5"/>
  <c r="J7" i="5"/>
  <c r="B51" i="5"/>
  <c r="J8" i="5"/>
  <c r="B52" i="5"/>
  <c r="J9" i="5"/>
  <c r="B53" i="5"/>
  <c r="J10" i="5"/>
  <c r="B54" i="5"/>
  <c r="J11" i="5"/>
  <c r="D55" i="5"/>
  <c r="B55" i="5"/>
  <c r="J12" i="5"/>
  <c r="B56" i="5"/>
  <c r="J13" i="5"/>
  <c r="B57" i="5"/>
  <c r="J4" i="5"/>
  <c r="D48" i="5"/>
  <c r="B48" i="5"/>
  <c r="O11" i="2" a="1"/>
  <c r="O11" i="2"/>
  <c r="O9" i="2" a="1"/>
  <c r="O9" i="2"/>
  <c r="O10" i="2" a="1"/>
  <c r="O10" i="2"/>
  <c r="O8" i="2" a="1"/>
  <c r="O8" i="2"/>
  <c r="O7" i="2" a="1"/>
  <c r="O7" i="2"/>
  <c r="O5" i="2" a="1"/>
  <c r="O5" i="2"/>
  <c r="O4" i="2" a="1"/>
  <c r="O4" i="2"/>
  <c r="O2" i="2" a="1"/>
  <c r="O2" i="2"/>
  <c r="O3" i="2" a="1"/>
  <c r="O3" i="2"/>
  <c r="B56" i="2"/>
  <c r="B29" i="2"/>
  <c r="D25" i="2"/>
  <c r="C25" i="2"/>
  <c r="B104" i="2"/>
  <c r="B57" i="2"/>
  <c r="D26" i="2"/>
  <c r="C26" i="2"/>
  <c r="D27" i="2"/>
  <c r="C27" i="2"/>
  <c r="D28" i="2"/>
  <c r="C28" i="2"/>
  <c r="B50" i="2"/>
  <c r="B58" i="2"/>
  <c r="B103" i="2"/>
  <c r="B108" i="2"/>
  <c r="B81" i="2"/>
  <c r="B82" i="2"/>
  <c r="B36" i="2" a="1"/>
  <c r="B36" i="2"/>
  <c r="B37" i="2"/>
  <c r="B106" i="2"/>
  <c r="J14" i="5"/>
  <c r="D58" i="5"/>
  <c r="J15" i="5"/>
  <c r="D59" i="5"/>
  <c r="B34" i="7"/>
  <c r="B35" i="7"/>
  <c r="B21" i="5"/>
  <c r="B32" i="5"/>
  <c r="G14" i="6"/>
  <c r="C22" i="7"/>
  <c r="B22" i="7"/>
  <c r="C27" i="7"/>
  <c r="B27" i="7"/>
  <c r="B49" i="7"/>
  <c r="B37" i="7"/>
  <c r="B8" i="7"/>
  <c r="B29" i="10"/>
  <c r="B26" i="10"/>
  <c r="B20" i="10"/>
  <c r="B35" i="10"/>
  <c r="B57" i="9"/>
  <c r="B58" i="9"/>
  <c r="B34" i="9"/>
  <c r="B45" i="9"/>
  <c r="B35" i="9"/>
  <c r="B59" i="9"/>
  <c r="B40" i="9"/>
  <c r="B28" i="9"/>
  <c r="E28" i="7"/>
  <c r="E25" i="7"/>
  <c r="E30" i="7"/>
  <c r="E23" i="7"/>
  <c r="E24" i="7"/>
  <c r="D28" i="7"/>
  <c r="D25" i="7"/>
  <c r="D30" i="7"/>
  <c r="D23" i="7"/>
  <c r="D24" i="7"/>
  <c r="B49" i="10"/>
  <c r="B50" i="10"/>
  <c r="B44" i="10"/>
  <c r="B40" i="10"/>
  <c r="B36" i="10"/>
  <c r="B41" i="8"/>
  <c r="B40" i="8"/>
  <c r="B7" i="4"/>
  <c r="B8" i="4"/>
  <c r="B57" i="8"/>
  <c r="I3" i="2"/>
  <c r="G3" i="2"/>
  <c r="I4" i="2"/>
  <c r="I13" i="2"/>
  <c r="I11" i="2"/>
  <c r="I10" i="2"/>
  <c r="I9" i="2"/>
  <c r="I8" i="2"/>
  <c r="I7" i="2"/>
  <c r="I6" i="2"/>
  <c r="I5" i="2"/>
  <c r="I2" i="2"/>
  <c r="G4" i="2"/>
  <c r="G13" i="2"/>
  <c r="G7" i="2"/>
  <c r="G10" i="2"/>
  <c r="G11" i="2"/>
  <c r="G2" i="2"/>
  <c r="G5" i="2"/>
  <c r="G6" i="2"/>
  <c r="G8" i="2"/>
  <c r="G9" i="2"/>
  <c r="J16" i="5" a="1"/>
  <c r="J16" i="5"/>
  <c r="B28" i="7"/>
  <c r="B27" i="6" a="1"/>
  <c r="B27" i="6"/>
  <c r="B25" i="6" a="1"/>
  <c r="B25" i="6"/>
  <c r="B26" i="6" a="1"/>
  <c r="B26" i="6"/>
  <c r="D49" i="5"/>
  <c r="D51" i="5"/>
  <c r="C25" i="7"/>
  <c r="C30" i="7"/>
  <c r="C23" i="7"/>
  <c r="B25" i="7"/>
  <c r="B30" i="7"/>
  <c r="B23" i="7"/>
  <c r="D50" i="5"/>
  <c r="D52" i="5"/>
  <c r="D53" i="5"/>
  <c r="D54" i="5"/>
  <c r="D56" i="5"/>
  <c r="D57" i="5"/>
  <c r="B45" i="2"/>
  <c r="B44" i="2"/>
  <c r="B42" i="2"/>
  <c r="B43" i="2"/>
  <c r="B41" i="2"/>
  <c r="B83" i="2"/>
  <c r="B85" i="2"/>
  <c r="B84" i="2"/>
  <c r="B46" i="2"/>
  <c r="D46" i="2"/>
  <c r="C28" i="7"/>
  <c r="B60" i="9"/>
  <c r="B62" i="9"/>
  <c r="B56" i="4"/>
  <c r="D45" i="2"/>
  <c r="E45" i="2"/>
  <c r="C45" i="2"/>
  <c r="C44" i="2"/>
  <c r="D44" i="2"/>
  <c r="E44" i="2"/>
  <c r="D42" i="2"/>
  <c r="E42" i="2"/>
  <c r="C42" i="2"/>
  <c r="C43" i="2"/>
  <c r="D43" i="2"/>
  <c r="E43" i="2"/>
  <c r="D41" i="2"/>
  <c r="E41" i="2"/>
  <c r="C41" i="2"/>
  <c r="B15" i="4"/>
  <c r="D20" i="8"/>
  <c r="D31" i="8"/>
  <c r="B21" i="4"/>
  <c r="B22" i="4"/>
  <c r="B27" i="4" a="1"/>
  <c r="B27" i="4"/>
  <c r="B23" i="4"/>
  <c r="B6" i="7"/>
  <c r="B24" i="7"/>
  <c r="C24" i="7"/>
  <c r="B16" i="9"/>
  <c r="B48" i="9"/>
  <c r="B58" i="8"/>
  <c r="B59" i="8"/>
  <c r="B36" i="7"/>
  <c r="B38" i="7"/>
  <c r="B40" i="7"/>
  <c r="B7" i="7"/>
  <c r="C29" i="7"/>
  <c r="B29" i="7"/>
  <c r="B48" i="7"/>
  <c r="B51" i="9"/>
  <c r="B52" i="9"/>
  <c r="B53" i="9"/>
  <c r="B50" i="9"/>
  <c r="B43" i="7"/>
  <c r="B42" i="7"/>
  <c r="B52" i="2"/>
  <c r="B53" i="2"/>
  <c r="B61" i="4"/>
  <c r="B62" i="4"/>
  <c r="B54" i="2"/>
  <c r="B22" i="5"/>
  <c r="B67" i="4"/>
  <c r="B68" i="4"/>
  <c r="B26" i="5"/>
  <c r="B27" i="5"/>
  <c r="B47" i="7"/>
  <c r="B50" i="7"/>
  <c r="B53" i="7"/>
  <c r="B54" i="7"/>
  <c r="B33" i="5"/>
  <c r="B29" i="5"/>
  <c r="B38" i="5"/>
  <c r="B39" i="5"/>
  <c r="B3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tc={D197765A-FC62-4834-80E1-501BB15B14FD}</author>
    <author>tc={712A3366-1748-4B5F-A551-84BCE75A482B}</author>
    <author>tc={B45D732D-4989-4803-9887-855D6DBD7CF8}</author>
    <author>tc={CFE42927-7041-45C7-BC6F-6B8FEBE87411}</author>
    <author>tc={E30D4556-A9A8-4178-ADAC-7B251911CA4D}</author>
  </authors>
  <commentList>
    <comment ref="B14" authorId="0" shapeId="0" xr:uid="{D197765A-FC62-4834-80E1-501BB15B14F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CarGurus listing #426326739, 2023 Toyota Camry SE AWD, 52,570 mi, accessed Mar 22 2026. https://www.cargurus.com/details/426326739</t>
      </text>
    </comment>
    <comment ref="C14" authorId="1" shapeId="0" xr:uid="{712A3366-1748-4B5F-A551-84BCE75A482B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CarGurus listing #440072860, 2023 Subaru Crosstrek, 72,574 mi, $19,721 incl. $221 delivery. https://www.cargurus.com/details/440072860</t>
      </text>
    </comment>
    <comment ref="B16" authorId="2" shapeId="0" xr:uid="{B45D732D-4989-4803-9887-855D6DBD7CF8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Estimate: ~8% APR for prime-credit used car buyer. Experian Q4 2025 avg used = 11.26%, prime tier substantially lower. Pre-qualify to confirm.</t>
      </text>
    </comment>
    <comment ref="B18" authorId="3" shapeId="0" xr:uid="{CFE42927-7041-45C7-BC6F-6B8FEBE87411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Estimate: Full coverage auto insurance, Buffalo NY, mid-20s male, 2023 sedan. Get actual quotes.</t>
      </text>
    </comment>
    <comment ref="C18" authorId="4" shapeId="0" xr:uid="{E30D4556-A9A8-4178-ADAC-7B251911CA4D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Estimate: Full coverage auto insurance, Buffalo NY, mid-20s male, 2023 crossover. Get actual quotes.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<sst xmlns="http://schemas.openxmlformats.org/spreadsheetml/2006/main" count="511" uniqueCount="446">
  <si>
    <t>Bill Name</t>
  </si>
  <si>
    <t>Amount</t>
  </si>
  <si>
    <t>Due Day</t>
  </si>
  <si>
    <t>Next Due Date</t>
  </si>
  <si>
    <t>Frequency</t>
  </si>
  <si>
    <t>Include?</t>
  </si>
  <si>
    <t>Effective Due Date</t>
  </si>
  <si>
    <t>Counts This Cycle (True/False)</t>
  </si>
  <si>
    <t>Adjusted Due Date</t>
  </si>
  <si>
    <t>Category</t>
  </si>
  <si>
    <t>Autopay?</t>
  </si>
  <si>
    <t>Last Paid</t>
  </si>
  <si>
    <t>Annual Cost</t>
  </si>
  <si>
    <t>Notes</t>
  </si>
  <si>
    <t>Due Rank</t>
  </si>
  <si>
    <t>Gym Membership</t>
  </si>
  <si>
    <t>Monthly</t>
  </si>
  <si>
    <t>Discretionary</t>
  </si>
  <si>
    <t>Phone Bill (Verizon)</t>
  </si>
  <si>
    <t>Essential</t>
  </si>
  <si>
    <t>Claude Subscription</t>
  </si>
  <si>
    <t>Subscription</t>
  </si>
  <si>
    <t>Rent</t>
  </si>
  <si>
    <t>Largest fixed obligation</t>
  </si>
  <si>
    <t>Car Loan</t>
  </si>
  <si>
    <t>Debt</t>
  </si>
  <si>
    <t>Inactive — lien eliminated Mar 2026</t>
  </si>
  <si>
    <t>Car Insurance</t>
  </si>
  <si>
    <t>YouTube Premium</t>
  </si>
  <si>
    <t>National Grid (Electric)</t>
  </si>
  <si>
    <t>Utility — amount varies</t>
  </si>
  <si>
    <t>National Fuel (Gas Utility)</t>
  </si>
  <si>
    <t>EZ-Pass / Tolls</t>
  </si>
  <si>
    <t>Quick Silver Credit Card</t>
  </si>
  <si>
    <t>Excluded — variable CC</t>
  </si>
  <si>
    <t>Food + Gas (Variable)</t>
  </si>
  <si>
    <t>Variable</t>
  </si>
  <si>
    <t>Excluded — tracked in Dashboard variable section</t>
  </si>
  <si>
    <t>BILL TOTALS &amp; OBLIGATIONS</t>
  </si>
  <si>
    <t>Total Monthly (Included)</t>
  </si>
  <si>
    <t>Total Monthly (All Bills)</t>
  </si>
  <si>
    <t>Total Annual (Included)</t>
  </si>
  <si>
    <t>Bills as % of Base Net Income</t>
  </si>
  <si>
    <t>Active Bill Count</t>
  </si>
  <si>
    <t>Excluded Bill Count</t>
  </si>
  <si>
    <t>CATEGORY BREAKDOWN</t>
  </si>
  <si>
    <t>Monthly Total</t>
  </si>
  <si>
    <t>% of Bills</t>
  </si>
  <si>
    <t>Annual Total</t>
  </si>
  <si>
    <t>Bill Count</t>
  </si>
  <si>
    <t>Verification (should = B16)</t>
  </si>
  <si>
    <t>AUTOPAY AUDIT</t>
  </si>
  <si>
    <t>Autopay Bills (Count)</t>
  </si>
  <si>
    <t>Autopay Bills (Monthly $)</t>
  </si>
  <si>
    <t>Manual Bills (Count)</t>
  </si>
  <si>
    <t>Manual Bills (Monthly $)</t>
  </si>
  <si>
    <t>Manual Bill Due Next</t>
  </si>
  <si>
    <t>⚠️ Manual Payment Risk</t>
  </si>
  <si>
    <t>UPCOMING BILLS TIMELINE</t>
  </si>
  <si>
    <t>#</t>
  </si>
  <si>
    <t>Due Date</t>
  </si>
  <si>
    <t>Days Until Due</t>
  </si>
  <si>
    <t>Total Due This Cycle</t>
  </si>
  <si>
    <t>across</t>
  </si>
  <si>
    <t>bills</t>
  </si>
  <si>
    <t>INCOME vs OBLIGATIONS ANALYSIS</t>
  </si>
  <si>
    <t>Base Monthly Net Income</t>
  </si>
  <si>
    <t>Fixed Bills (Included)</t>
  </si>
  <si>
    <t>Variable Spend Cap</t>
  </si>
  <si>
    <t>Forward Reserve</t>
  </si>
  <si>
    <t>Residual After All Obligations</t>
  </si>
  <si>
    <t>Residual as % of Income</t>
  </si>
  <si>
    <t>Essential Bills / Income</t>
  </si>
  <si>
    <t>Discretionary Bills / Income</t>
  </si>
  <si>
    <t>Fixed-to-Variable Ratio</t>
  </si>
  <si>
    <t>PAYMENT COMPLIANCE SCORECARD</t>
  </si>
  <si>
    <t>Total Payments Logged</t>
  </si>
  <si>
    <t>On Time Payments</t>
  </si>
  <si>
    <t>Late Payments</t>
  </si>
  <si>
    <t>On-Time Rate</t>
  </si>
  <si>
    <t>Consecutive On-Time Streak</t>
  </si>
  <si>
    <t>Payment Compliance Grade</t>
  </si>
  <si>
    <t>SUBSCRIPTION AUDIT</t>
  </si>
  <si>
    <t>Total Subscription Count (Active)</t>
  </si>
  <si>
    <t>Total Subscription Monthly Cost</t>
  </si>
  <si>
    <t>Total Subscription Annual Cost</t>
  </si>
  <si>
    <t>Subscriptions as % of Income</t>
  </si>
  <si>
    <t>💡 Optimization Targets</t>
  </si>
  <si>
    <t>Bill</t>
  </si>
  <si>
    <t>Annual</t>
  </si>
  <si>
    <t>BILL HEALTH SUMMARY</t>
  </si>
  <si>
    <t>Autopay Coverage</t>
  </si>
  <si>
    <t>Bills-to-Income Ratio</t>
  </si>
  <si>
    <t>Essential-to-Discretionary Ratio</t>
  </si>
  <si>
    <t>Subscription Creep Risk</t>
  </si>
  <si>
    <t>Manual Payment Risk</t>
  </si>
  <si>
    <t>OVERALL BILL HEALTH</t>
  </si>
  <si>
    <t>Personal Finance Dashboard</t>
  </si>
  <si>
    <t>Item</t>
  </si>
  <si>
    <t>Value</t>
  </si>
  <si>
    <t>TIMING &amp; INPUTS</t>
  </si>
  <si>
    <t>Next Payday Date</t>
  </si>
  <si>
    <t>Last Balance Update</t>
  </si>
  <si>
    <t>Available Checking Balance</t>
  </si>
  <si>
    <t>Balance Status</t>
  </si>
  <si>
    <t>Days Since Last Update</t>
  </si>
  <si>
    <t>OBLIGATIONS &amp; RISKS</t>
  </si>
  <si>
    <t>Bills Due Before Next Payday</t>
  </si>
  <si>
    <t>Pending/Holds Reserve</t>
  </si>
  <si>
    <t>Minimum Cushion</t>
  </si>
  <si>
    <t>Posting Cushion (Days)</t>
  </si>
  <si>
    <t>Bills-Only Reserve</t>
  </si>
  <si>
    <t>Total Required Hold</t>
  </si>
  <si>
    <t>DECISION OUTPUTS</t>
  </si>
  <si>
    <t>Safe to Spend</t>
  </si>
  <si>
    <t>Daily Rate (From Last Update)</t>
  </si>
  <si>
    <t>Daily Rate (Real-Time)</t>
  </si>
  <si>
    <t>Days of Coverage Remaining</t>
  </si>
  <si>
    <t>Variable Spend Until Payday</t>
  </si>
  <si>
    <t>Remaining Discretionary</t>
  </si>
  <si>
    <t>Payday Risk</t>
  </si>
  <si>
    <t>Status</t>
  </si>
  <si>
    <t>OPTIONAL BUFFERS</t>
  </si>
  <si>
    <t>Checking Floor</t>
  </si>
  <si>
    <t>Irregular Expense Buffer</t>
  </si>
  <si>
    <t>Timing Buffer</t>
  </si>
  <si>
    <t>Forward Reserve (Next Month 1st–7th)</t>
  </si>
  <si>
    <t>ONE-TIME EXPENSES</t>
  </si>
  <si>
    <t>ANRC Event</t>
  </si>
  <si>
    <t>Expense 2</t>
  </si>
  <si>
    <t>Expense 3</t>
  </si>
  <si>
    <t>Expense 4</t>
  </si>
  <si>
    <t>Expense 5</t>
  </si>
  <si>
    <t>Due Before Payday</t>
  </si>
  <si>
    <t>VARIABLE SPEND TRACKING</t>
  </si>
  <si>
    <t>Monthly Variable Cap</t>
  </si>
  <si>
    <t>Week 1 Logged Spend</t>
  </si>
  <si>
    <t>Week 2 Logged Spend</t>
  </si>
  <si>
    <t>Week 3 Logged Spend</t>
  </si>
  <si>
    <t>Week 4 Logged Spend</t>
  </si>
  <si>
    <t>Of Which: QuickSilver</t>
  </si>
  <si>
    <t>Total Logged Spend</t>
  </si>
  <si>
    <t>Remaining Variable Budget</t>
  </si>
  <si>
    <t>QuickSilver Blind Spot</t>
  </si>
  <si>
    <t>MONTHLY SAVINGS ESTIMATE</t>
  </si>
  <si>
    <t>Base Net Income (2 checks)</t>
  </si>
  <si>
    <t>Confirmed Commission (Auto — current month payout)</t>
  </si>
  <si>
    <t>Total Month Income</t>
  </si>
  <si>
    <t>Full Month Fixed Bills</t>
  </si>
  <si>
    <t>Remaining Variable Spend (Prorated)</t>
  </si>
  <si>
    <t>Known One-Time Costs (all)</t>
  </si>
  <si>
    <t>QuickSilver Accrual</t>
  </si>
  <si>
    <t>ESTIMATED MONTHLY SAVINGS</t>
  </si>
  <si>
    <t>401(k) MATCH CHECK</t>
  </si>
  <si>
    <t>Match Gap Active?</t>
  </si>
  <si>
    <t>Monthly Cost to Close Gap</t>
  </si>
  <si>
    <t>Savings After 4% Bump</t>
  </si>
  <si>
    <t>Can You Afford It?</t>
  </si>
  <si>
    <t>Odoo Commission Calculator</t>
  </si>
  <si>
    <t>Monthly totals — one row per sales month. Enter date, MRR, and NRR; payouts auto-calculate.</t>
  </si>
  <si>
    <t>ASSUMPTIONS</t>
  </si>
  <si>
    <t>MRR Target</t>
  </si>
  <si>
    <t>NRR Target</t>
  </si>
  <si>
    <t>MRR Target Payout</t>
  </si>
  <si>
    <t>NRR Target Payout</t>
  </si>
  <si>
    <t>MRR Above-Target Rate</t>
  </si>
  <si>
    <t>NRR Above-Target Rate</t>
  </si>
  <si>
    <t>Est. Tax Rate</t>
  </si>
  <si>
    <t>Sales Month</t>
  </si>
  <si>
    <t>MRR Achieved</t>
  </si>
  <si>
    <t>NRR Achieved</t>
  </si>
  <si>
    <t>MRR Payout</t>
  </si>
  <si>
    <t>NRR Payout</t>
  </si>
  <si>
    <t>Total Gross</t>
  </si>
  <si>
    <t>Take-Home</t>
  </si>
  <si>
    <t>Pay-Out Date</t>
  </si>
  <si>
    <t>COMMISSION SUMMARY</t>
  </si>
  <si>
    <t>Last 3 Months Avg Take-Home</t>
  </si>
  <si>
    <t>Commission Drought Flag</t>
  </si>
  <si>
    <t>YTD Commission Take-Home</t>
  </si>
  <si>
    <t>Decision Sandbox</t>
  </si>
  <si>
    <t>Compare up to 4 options. Enter a name, price, and loan terms — leave fields blank if they don't apply.</t>
  </si>
  <si>
    <t>YOUR POSITION</t>
  </si>
  <si>
    <t>HYSA Balance</t>
  </si>
  <si>
    <t>Daily Safe Spend</t>
  </si>
  <si>
    <t>Monthly Fixed Bills</t>
  </si>
  <si>
    <t>Base Net Income (per month)</t>
  </si>
  <si>
    <t>PURCHASE COMPARISON</t>
  </si>
  <si>
    <t>Option 1</t>
  </si>
  <si>
    <t>Option 2</t>
  </si>
  <si>
    <t>Option 3</t>
  </si>
  <si>
    <t>Option 4</t>
  </si>
  <si>
    <t>Option Name</t>
  </si>
  <si>
    <t>23 Camry SE AWD</t>
  </si>
  <si>
    <t>23 Crosstrek</t>
  </si>
  <si>
    <t>INPUTS</t>
  </si>
  <si>
    <t>Total Price</t>
  </si>
  <si>
    <t>Down Payment</t>
  </si>
  <si>
    <t>Interest Rate (%)</t>
  </si>
  <si>
    <t>Loan Term (Months)</t>
  </si>
  <si>
    <t>Monthly Add-ons (Ins/Tax/HOA)</t>
  </si>
  <si>
    <t>One-Time Cost (if no loan)</t>
  </si>
  <si>
    <t>OUTPUTS</t>
  </si>
  <si>
    <t>Monthly Loan Payment</t>
  </si>
  <si>
    <t>Total Monthly Cost</t>
  </si>
  <si>
    <t>Daily Lifestyle Cost</t>
  </si>
  <si>
    <t>New Daily Safe Spend</t>
  </si>
  <si>
    <t>Total Interest Cost</t>
  </si>
  <si>
    <t>HYSA After Down Payment</t>
  </si>
  <si>
    <t>Months of HYSA Runway</t>
  </si>
  <si>
    <t>Income Coverage (%)</t>
  </si>
  <si>
    <t>COMMISSION DROUGHT SURVIVAL</t>
  </si>
  <si>
    <t>Current Checking Balance</t>
  </si>
  <si>
    <t>Current HYSA Balance</t>
  </si>
  <si>
    <t>Total Liquid Cash</t>
  </si>
  <si>
    <t>Fixed Monthly Burn</t>
  </si>
  <si>
    <t>Variable Monthly Spend Cap</t>
  </si>
  <si>
    <t>Total Monthly Burn (Base Only)</t>
  </si>
  <si>
    <t>Base Net Pay (No Commission)</t>
  </si>
  <si>
    <t>Monthly Cash Deficit at $0 Commission</t>
  </si>
  <si>
    <t>🚨 ZERO-COMMISSION RUNWAY</t>
  </si>
  <si>
    <t>Monthly Surplus (base − burn)</t>
  </si>
  <si>
    <t>INCOME REPLACEMENT / NEGOTIATION FLOOR</t>
  </si>
  <si>
    <t>If commission dries up, what base salary maintains your savings floor?</t>
  </si>
  <si>
    <t>Monthly Savings Target</t>
  </si>
  <si>
    <t>Minimum Monthly Net Needed</t>
  </si>
  <si>
    <t>Estimated Total Tax Rate (Fed+State)</t>
  </si>
  <si>
    <t>🎯 MINIMUM BASE SALARY (Annual)</t>
  </si>
  <si>
    <t>Minimum Base Salary (Monthly Gross)</t>
  </si>
  <si>
    <t>Wealth Management 2026</t>
  </si>
  <si>
    <t>Month</t>
  </si>
  <si>
    <t>HYSA</t>
  </si>
  <si>
    <t>Brokerage</t>
  </si>
  <si>
    <t>401(k)</t>
  </si>
  <si>
    <t>Other Assets</t>
  </si>
  <si>
    <t>Total Assets</t>
  </si>
  <si>
    <t>Student Loans</t>
  </si>
  <si>
    <t>Total Liab.</t>
  </si>
  <si>
    <t>Net Worth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</si>
  <si>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</si>
  <si>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</si>
  <si>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</si>
  <si>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</si>
  <si>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</si>
  <si>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</si>
  <si>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</si>
  <si>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</si>
  <si>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</si>
  <si>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</si>
  <si>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</si>
  <si>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</si>
  <si>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Change</t>
  </si>
  <si>
    <t>HYSA GAP TRACKER</t>
  </si>
  <si>
    <t>CREDIT SCORES</t>
  </si>
  <si>
    <t>HYSA Target</t>
  </si>
  <si>
    <t>Experian</t>
  </si>
  <si>
    <t>HYSA Current</t>
  </si>
  <si>
    <t>Equifax</t>
  </si>
  <si>
    <t>Gap to Target</t>
  </si>
  <si>
    <t>TransUnion</t>
  </si>
  <si>
    <t>Months to Close (Base Savings)</t>
  </si>
  <si>
    <t>Score Spread</t>
  </si>
  <si>
    <t>Last Checked</t>
  </si>
  <si>
    <t>SAVINGS RATE</t>
  </si>
  <si>
    <t>ACTION PLAN</t>
  </si>
  <si>
    <t>Monthly Net Income</t>
  </si>
  <si>
    <t>Utilization Target</t>
  </si>
  <si>
    <t>&lt;10% all cards</t>
  </si>
  <si>
    <t>Est. Monthly Savings</t>
  </si>
  <si>
    <t>Lowest Bureau</t>
  </si>
  <si>
    <t>Current Savings Rate</t>
  </si>
  <si>
    <t>Review Cadence</t>
  </si>
  <si>
    <t>Mar / Jun / Sep / Dec</t>
  </si>
  <si>
    <t>Target Savings Rate</t>
  </si>
  <si>
    <t>Next Review</t>
  </si>
  <si>
    <t>NET WORTH PROJECTION</t>
  </si>
  <si>
    <t>Current Net Worth</t>
  </si>
  <si>
    <t>Monthly Savings (floor)</t>
  </si>
  <si>
    <t>Annual Return on Investments</t>
  </si>
  <si>
    <t>Current Age</t>
  </si>
  <si>
    <t>Net Worth at Age 35</t>
  </si>
  <si>
    <t>Net Worth at Age 40</t>
  </si>
  <si>
    <t>Net Worth at Age 45</t>
  </si>
  <si>
    <t>BROKERAGE POLICY</t>
  </si>
  <si>
    <t>Purpose</t>
  </si>
  <si>
    <t>Long-term taxable investing (growth)</t>
  </si>
  <si>
    <t>Time Horizon</t>
  </si>
  <si>
    <t>10+ years</t>
  </si>
  <si>
    <t>Touch Rules</t>
  </si>
  <si>
    <t>Do not withdraw for short-term needs</t>
  </si>
  <si>
    <t>Net Worth Trend Data</t>
  </si>
  <si>
    <t>Total Liabilities</t>
  </si>
  <si>
    <t>Asset Allocation (Latest)</t>
  </si>
  <si>
    <t>CONTROL PANEL</t>
  </si>
  <si>
    <t>posting_cushion_days</t>
  </si>
  <si>
    <t>commission_tax_rate</t>
  </si>
  <si>
    <t>month_length_days</t>
  </si>
  <si>
    <t>commission_payout_day</t>
  </si>
  <si>
    <t>mrr_target</t>
  </si>
  <si>
    <t>nrr_target</t>
  </si>
  <si>
    <t>alert_threshold</t>
  </si>
  <si>
    <t>variable_spend_cap</t>
  </si>
  <si>
    <t>base_net_income</t>
  </si>
  <si>
    <t>hysa_target</t>
  </si>
  <si>
    <t>retirement_return_assumption</t>
  </si>
  <si>
    <t>tax_annual_reserve</t>
  </si>
  <si>
    <t>savings_to_hysa_ratio</t>
  </si>
  <si>
    <t>include_forward_reserve_in_sts</t>
  </si>
  <si>
    <t>SESSION INTEGRITY CHECK (Section 6.0)</t>
  </si>
  <si>
    <t>Claude reads these at session start. Any FAIL = investigate before proceeding.</t>
  </si>
  <si>
    <t>Check</t>
  </si>
  <si>
    <t>What Claude Verifies</t>
  </si>
  <si>
    <t>Dashboard B15 formula</t>
  </si>
  <si>
    <t>Confirms =B11 (Bills-Only Reserve wired in)</t>
  </si>
  <si>
    <t>Dashboard B22 source</t>
  </si>
  <si>
    <t>Confirms Daily Rate uses formula not manual number</t>
  </si>
  <si>
    <t>Dashboard B54 formula</t>
  </si>
  <si>
    <t>Confirms Base Net Income is formula-based (=Assumptions!B10)</t>
  </si>
  <si>
    <t>Next Due Date logic</t>
  </si>
  <si>
    <t>Confirms Bills!D uses DATE(YEAR,MONTH,day) pattern</t>
  </si>
  <si>
    <t>Car Loan row</t>
  </si>
  <si>
    <t>Confirms Bills!F6 Include=FALSE (car loan inactive)</t>
  </si>
  <si>
    <t>Claude Sub row</t>
  </si>
  <si>
    <t>Confirms Bills row 4: $21, Due 3rd, Include=TRUE</t>
  </si>
  <si>
    <t>Confirms Dashboard!B33 is formula-based or zero</t>
  </si>
  <si>
    <t>Alert Threshold</t>
  </si>
  <si>
    <t>Confirms Assumptions!B8 is current (=400)</t>
  </si>
  <si>
    <t>Monthly Savings formula</t>
  </si>
  <si>
    <t>Confirms Dashboard!B62 is a formula (Monthly Savings)</t>
  </si>
  <si>
    <t>Wealth Mgmt NW Change</t>
  </si>
  <si>
    <t>Confirms WM!J16 uses formula (YTD Net Worth Change)</t>
  </si>
  <si>
    <t>OVERALL STATUS</t>
  </si>
  <si>
    <t>Last Verified</t>
  </si>
  <si>
    <t>TAX PLANNING</t>
  </si>
  <si>
    <t>Gross Annual Income</t>
  </si>
  <si>
    <t>Estimated Federal Tax Rate (Effective)</t>
  </si>
  <si>
    <t>Estimated State Tax Rate (Effective)</t>
  </si>
  <si>
    <t>Estimated Annual Tax Liability</t>
  </si>
  <si>
    <t>Pay Periods Per Year</t>
  </si>
  <si>
    <t>Tax Reserve Per Paycheck</t>
  </si>
  <si>
    <t>Tax Reserve Per Month</t>
  </si>
  <si>
    <t>Note: If taxes are withheld from paycheck, this reserve covers any gap.</t>
  </si>
  <si>
    <t>Adjust effective rates based on actual refund/owed amounts.</t>
  </si>
  <si>
    <t>INSURANCE AUDIT</t>
  </si>
  <si>
    <t>Type</t>
  </si>
  <si>
    <t>Monthly Cost</t>
  </si>
  <si>
    <t>Coverage Amount</t>
  </si>
  <si>
    <t>Last Reviewed</t>
  </si>
  <si>
    <t>Auto Insurance</t>
  </si>
  <si>
    <t>Renter's Insurance</t>
  </si>
  <si>
    <t>Life Insurance</t>
  </si>
  <si>
    <t>Disability Insurance</t>
  </si>
  <si>
    <t>INCOME GROWTH SCENARIO</t>
  </si>
  <si>
    <t>Current Base Salary</t>
  </si>
  <si>
    <t>Scenario: New Base Salary</t>
  </si>
  <si>
    <t>Monthly Net Increase (est. after tax)</t>
  </si>
  <si>
    <t>New Monthly Net Income (approx)</t>
  </si>
  <si>
    <t>Current Monthly Fixed Bills</t>
  </si>
  <si>
    <t>New Savings Floor (with raise)</t>
  </si>
  <si>
    <t>Savings Floor Improvement</t>
  </si>
  <si>
    <t>PLAYBOOK VERSION LOG</t>
  </si>
  <si>
    <t>Version Date</t>
  </si>
  <si>
    <t>Trigger Event</t>
  </si>
  <si>
    <t>What Changed</t>
  </si>
  <si>
    <t>Updated By</t>
  </si>
  <si>
    <t>System Upgrade</t>
  </si>
  <si>
    <t>Added Debt Strategy, Retirement Planning, Integrity Checks, Domain Completeness, Scenario Modeling, Data Integrity modules</t>
  </si>
  <si>
    <t>Claude</t>
  </si>
  <si>
    <t>STUDENT LOAN DEBT STRATEGY</t>
  </si>
  <si>
    <t>All inputs in blue. All outputs are formulas.</t>
  </si>
  <si>
    <t>LOAN INPUTS</t>
  </si>
  <si>
    <t>Loan Servicer</t>
  </si>
  <si>
    <t>Total Loan Balance</t>
  </si>
  <si>
    <t>Weighted Avg Interest Rate</t>
  </si>
  <si>
    <t>Loan Type</t>
  </si>
  <si>
    <t>Federal (Mixed Sub/Unsub)</t>
  </si>
  <si>
    <t>Current Repayment Status</t>
  </si>
  <si>
    <t>PSLF Eligible?</t>
  </si>
  <si>
    <t>No (Private employer)</t>
  </si>
  <si>
    <t>Current Monthly Payment</t>
  </si>
  <si>
    <t>Standard Plan Term (Years)</t>
  </si>
  <si>
    <t>Market Return Assumption</t>
  </si>
  <si>
    <t>Monthly Net Income (2 checks)</t>
  </si>
  <si>
    <t>STANDARD REPAYMENT ANALYSIS</t>
  </si>
  <si>
    <t>Monthly Payment (Standard 10yr)</t>
  </si>
  <si>
    <t>Total Paid (Standard 10yr)</t>
  </si>
  <si>
    <t>Total Interest (Standard 10yr)</t>
  </si>
  <si>
    <t>Extended Plan Term (Years)</t>
  </si>
  <si>
    <t>Monthly Payment (Extended 25yr)</t>
  </si>
  <si>
    <t>Total Paid (Extended 25yr)</t>
  </si>
  <si>
    <t>Total Interest (Extended 25yr)</t>
  </si>
  <si>
    <t>Extra Interest Cost of Extended vs Standard</t>
  </si>
  <si>
    <t>ACCELERATED PAYOFF SCENARIOS</t>
  </si>
  <si>
    <t>Scenario</t>
  </si>
  <si>
    <t>3-Year Payoff</t>
  </si>
  <si>
    <t>Monthly Payment Required</t>
  </si>
  <si>
    <t>Total Interest Paid</t>
  </si>
  <si>
    <t>Interest Saved vs Standard</t>
  </si>
  <si>
    <t>5-Year Payoff</t>
  </si>
  <si>
    <t>7-Year Payoff</t>
  </si>
  <si>
    <t>IMPACT ON MONTHLY BURN &amp; SAVINGS</t>
  </si>
  <si>
    <t>Current Monthly Savings Floor</t>
  </si>
  <si>
    <t>Savings After 3yr Payment</t>
  </si>
  <si>
    <t>Savings After 5yr Payment</t>
  </si>
  <si>
    <t>Savings After 7yr Payment</t>
  </si>
  <si>
    <t>Savings After Standard 10yr</t>
  </si>
  <si>
    <t>BREAK-EVEN: PAY AGGRESSIVELY vs INVEST</t>
  </si>
  <si>
    <t>If you pay standard 10yr and invest the difference vs 3yr aggressive:</t>
  </si>
  <si>
    <t>Monthly investable difference (3yr pmt - standard pmt)</t>
  </si>
  <si>
    <t>FV of investing that difference for 10yr at market return</t>
  </si>
  <si>
    <t>Interest saved by paying 3yr aggressive</t>
  </si>
  <si>
    <t>Net benefit of investing vs paying aggressively</t>
  </si>
  <si>
    <t>VERDICT</t>
  </si>
  <si>
    <t>⚠️ Note: This assumes 7% market return. Paying down debt is a guaranteed return; investing is not.</t>
  </si>
  <si>
    <t>RETIREMENT PLANNING</t>
  </si>
  <si>
    <t>401(k) projections and contribution optimization. Blue = inputs.</t>
  </si>
  <si>
    <t>401(k) INPUTS</t>
  </si>
  <si>
    <t>Current Contribution Rate (% of Gross)</t>
  </si>
  <si>
    <t>Employer Match Rate</t>
  </si>
  <si>
    <t>Employer Match Cap (% of Gross)</t>
  </si>
  <si>
    <t>Current 401(k) Balance</t>
  </si>
  <si>
    <t>Target Retirement Age</t>
  </si>
  <si>
    <t>Assumed Annual Return (Real)</t>
  </si>
  <si>
    <t>Assumed Annual Return (Nominal)</t>
  </si>
  <si>
    <t>Years to Retirement</t>
  </si>
  <si>
    <t>CONTRIBUTION ANALYSIS</t>
  </si>
  <si>
    <t>Your Annual Contribution ($)</t>
  </si>
  <si>
    <t>Your Monthly Contribution ($)</t>
  </si>
  <si>
    <t>Employer Match Captured ($)</t>
  </si>
  <si>
    <t>Max Employer Match Available ($)</t>
  </si>
  <si>
    <t>⚠️ MATCH GAP</t>
  </si>
  <si>
    <t>401(k) Contribution per Paycheck (bi-monthly)</t>
  </si>
  <si>
    <t>↑ This should appear as a line item in Dashboard savings calc</t>
  </si>
  <si>
    <t>Total Annual Going In (You + Employer)</t>
  </si>
  <si>
    <t>PROJECTED BALANCE AT RETIREMENT</t>
  </si>
  <si>
    <t>Using 7% real return. Current balance + annual contributions compounded.</t>
  </si>
  <si>
    <t>At Current Rate (3%)</t>
  </si>
  <si>
    <t>Projected at Age 60</t>
  </si>
  <si>
    <t>Projected at Age 65</t>
  </si>
  <si>
    <t>If Contribution Increases to Match Cap (4%)</t>
  </si>
  <si>
    <t>If Contribution Increases to 10%</t>
  </si>
  <si>
    <t>$1M TARGET CALCULATOR</t>
  </si>
  <si>
    <t>Target Balance at 65</t>
  </si>
  <si>
    <t>Monthly Contribution Needed (You Only)</t>
  </si>
  <si>
    <t>Contribution Rate Needed (% of Gross)</t>
  </si>
  <si>
    <t>Note: This is your contribution only. Employer match is additional.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</si>
</sst>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164" formatCode="yyyy\-mm\-dd"/>
    <numFmt numFmtId="165" formatCode="mm/dd/yyyy"/>
    <numFmt numFmtId="166" formatCode="&quot;$&quot;#,##0"/>
    <numFmt numFmtId="167" formatCode="0.0%"/>
    <numFmt numFmtId="168" formatCode="&quot;$&quot;#,##0.00"/>
    <numFmt numFmtId="169" formatCode="0.0"/>
    <numFmt numFmtId="170" formatCode="mmm\ yyyy"/>
    <numFmt numFmtId="171" formatCode="0.00&quot;x&quot;"/>
    <numFmt numFmtId="172" formatCode="0.000&quot;x&quot;"/>
    <numFmt numFmtId="173" formatCode="mmm\ d\,\ yyyy"/>
    <numFmt numFmtId="174" formatCode="&quot;$&quot;#,##0;\(&quot;$&quot;#,##0\);\-"/>
    <numFmt numFmtId="175" formatCode="0&quot; days&quot;"/>
  </numFmts>
  <fonts count="4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Arial"/>
      <scheme val="minor"/>
    </font>
    <font>
      <b/>
      <sz val="14"/>
      <color rgb="FF000000"/>
      <name val="Arial"/>
      <scheme val="minor"/>
    </font>
    <font>
      <sz val="10"/>
      <color rgb="FF666666"/>
      <name val="Arial"/>
      <scheme val="minor"/>
    </font>
    <font>
      <i/>
      <sz val="9"/>
      <color rgb="FF666666"/>
      <name val="Arial"/>
      <scheme val="minor"/>
    </font>
    <font>
      <b/>
      <sz val="11"/>
      <color rgb="FF000000"/>
      <name val="Arial"/>
      <scheme val="minor"/>
    </font>
    <font>
      <sz val="10"/>
      <color rgb="FF0000FF"/>
      <name val="Arial"/>
      <scheme val="minor"/>
    </font>
    <font>
      <sz val="10"/>
      <color rgb="FF008000"/>
      <name val="Arial"/>
      <scheme val="minor"/>
    </font>
    <font>
      <b/>
      <sz val="10"/>
      <color rgb="FF000000"/>
      <name val="Arial"/>
      <scheme val="minor"/>
    </font>
    <font>
      <b/>
      <sz val="12"/>
      <color rgb="FF000000"/>
      <name val="Arial"/>
      <scheme val="minor"/>
    </font>
    <font>
      <i/>
      <sz val="10"/>
      <color rgb="FF000000"/>
      <name val="Arial"/>
      <scheme val="minor"/>
    </font>
    <font>
      <b/>
      <sz val="10"/>
      <color rgb="FFFFFFFF"/>
      <name val="Aptos"/>
    </font>
    <font>
      <b/>
      <sz val="10"/>
      <color rgb="FF333333"/>
      <name val="Aptos"/>
    </font>
    <font>
      <sz val="10"/>
      <color rgb="FF333333"/>
      <name val="Aptos"/>
    </font>
    <font>
      <b/>
      <sz val="13"/>
      <color rgb="FF1A1A1A"/>
      <name val="Aptos"/>
    </font>
    <font>
      <i/>
      <sz val="9"/>
      <color rgb="FF888888"/>
      <name val="Aptos"/>
    </font>
    <font>
      <b/>
      <sz val="9"/>
      <color rgb="FF666666"/>
      <name val="Aptos"/>
    </font>
    <font>
      <sz val="9"/>
      <color rgb="FF777777"/>
      <name val="Aptos"/>
    </font>
    <font>
      <sz val="9"/>
      <color rgb="FF2563EB"/>
      <name val="Aptos"/>
    </font>
    <font>
      <b/>
      <sz val="9"/>
      <color rgb="FF555555"/>
      <name val="Aptos"/>
    </font>
    <font>
      <sz val="10"/>
      <color rgb="FF2563EB"/>
      <name val="Aptos"/>
    </font>
    <font>
      <sz val="10"/>
      <color rgb="FF555555"/>
      <name val="Aptos"/>
    </font>
    <font>
      <b/>
      <sz val="14"/>
      <color rgb="FF1A1A1A"/>
      <name val="Aptos"/>
    </font>
    <font>
      <sz val="10"/>
      <color rgb="FF008000"/>
      <name val="Aptos"/>
    </font>
    <font>
      <b/>
      <sz val="10"/>
      <color rgb="FF2563EB"/>
      <name val="Aptos"/>
    </font>
    <font>
      <b/>
      <sz val="8"/>
      <color rgb="FF999999"/>
      <name val="Aptos"/>
    </font>
    <font>
      <b/>
      <sz val="10"/>
      <color rgb="FF555555"/>
      <name val="Aptos"/>
    </font>
    <font>
      <b/>
      <sz val="11"/>
      <color rgb="FF333333"/>
      <name val="Aptos"/>
    </font>
    <font>
      <b/>
      <sz val="12"/>
      <color rgb="FF333333"/>
      <name val="Aptos"/>
    </font>
    <font>
      <b/>
      <sz val="9"/>
      <color rgb="FFFFFFFF"/>
      <name val="Aptos"/>
    </font>
    <font>
      <sz val="9"/>
      <color rgb="FF555555"/>
      <name val="Aptos"/>
    </font>
    <font>
      <b/>
      <sz val="9"/>
      <color rgb="FF000000"/>
      <name val="Arial"/>
      <scheme val="minor"/>
    </font>
    <font>
      <b/>
      <sz val="9"/>
      <color rgb="FF666666"/>
      <name val="Arial"/>
      <scheme val="minor"/>
    </font>
    <font>
      <b/>
      <sz val="11"/>
      <color rgb="FFFFFFFF"/>
      <name val="Arial"/>
      <scheme val="minor"/>
    </font>
    <font>
      <b/>
      <sz val="10"/>
      <color theme="1"/>
      <name val="Arial"/>
      <scheme val="minor"/>
    </font>
    <font>
      <i/>
      <sz val="10"/>
      <color rgb="FF666666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2F364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D5D8DC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FCE8B2"/>
        <bgColor indexed="64"/>
      </patternFill>
    </fill>
    <fill>
      <patternFill patternType="solid">
        <fgColor rgb="FF43434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1F2937"/>
      </bottom>
      <diagonal/>
    </border>
    <border>
      <left/>
      <right/>
      <top style="thin">
        <color rgb="FFE5E7EB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DDDDDD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EBEBEB"/>
      </top>
      <bottom style="thin">
        <color rgb="FFEBEBEB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EBEBEB"/>
      </top>
      <bottom style="thin">
        <color rgb="FF999999"/>
      </bottom>
      <diagonal/>
    </border>
    <border>
      <left/>
      <right/>
      <top/>
      <bottom style="thin">
        <color rgb="FFE5E7EB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rgb="FFCCCCCC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97">
    <xf numFmtId="0" fontId="0" fillId="0" borderId="0" xfId="0"/>
    <xf numFmtId="0" fontId="1" fillId="0" borderId="0" xfId="0" applyFont="1"/>
    <xf numFmtId="4" fontId="1" fillId="0" borderId="0" xfId="0" applyNumberFormat="1" applyFont="1"/>
    <xf numFmtId="14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4" fontId="5" fillId="0" borderId="0" xfId="0" applyNumberFormat="1" applyFont="1"/>
    <xf numFmtId="0" fontId="0" fillId="0" borderId="0" xfId="0" applyProtection="1">
      <protection locked="0"/>
    </xf>
    <xf numFmtId="0" fontId="2" fillId="2" borderId="0" xfId="0" applyFont="1" applyFill="1"/>
    <xf numFmtId="165" fontId="1" fillId="0" borderId="0" xfId="0" applyNumberFormat="1" applyFont="1"/>
    <xf numFmtId="0" fontId="8" fillId="3" borderId="0" xfId="0" applyFont="1" applyFill="1"/>
    <xf numFmtId="0" fontId="9" fillId="3" borderId="0" xfId="0" applyFont="1" applyFill="1"/>
    <xf numFmtId="14" fontId="1" fillId="4" borderId="0" xfId="0" applyNumberFormat="1" applyFont="1" applyFill="1"/>
    <xf numFmtId="0" fontId="10" fillId="5" borderId="0" xfId="0" applyFont="1" applyFill="1"/>
    <xf numFmtId="0" fontId="11" fillId="5" borderId="0" xfId="0" applyFont="1" applyFill="1"/>
    <xf numFmtId="0" fontId="10" fillId="0" borderId="0" xfId="0" applyFont="1"/>
    <xf numFmtId="0" fontId="12" fillId="0" borderId="0" xfId="0" applyFont="1"/>
    <xf numFmtId="0" fontId="13" fillId="6" borderId="0" xfId="0" applyFont="1" applyFill="1"/>
    <xf numFmtId="0" fontId="0" fillId="6" borderId="0" xfId="0" applyFill="1"/>
    <xf numFmtId="0" fontId="14" fillId="0" borderId="0" xfId="0" applyFont="1"/>
    <xf numFmtId="166" fontId="14" fillId="0" borderId="0" xfId="0" applyNumberFormat="1" applyFont="1"/>
    <xf numFmtId="167" fontId="14" fillId="0" borderId="0" xfId="0" applyNumberFormat="1" applyFont="1"/>
    <xf numFmtId="1" fontId="14" fillId="0" borderId="0" xfId="0" applyNumberFormat="1" applyFont="1"/>
    <xf numFmtId="0" fontId="15" fillId="0" borderId="0" xfId="0" applyFont="1"/>
    <xf numFmtId="168" fontId="15" fillId="0" borderId="0" xfId="0" applyNumberFormat="1" applyFont="1"/>
    <xf numFmtId="168" fontId="0" fillId="0" borderId="0" xfId="0" applyNumberFormat="1"/>
    <xf numFmtId="166" fontId="0" fillId="0" borderId="0" xfId="0" applyNumberFormat="1"/>
    <xf numFmtId="166" fontId="16" fillId="0" borderId="0" xfId="0" applyNumberFormat="1" applyFont="1"/>
    <xf numFmtId="0" fontId="16" fillId="0" borderId="0" xfId="0" applyFont="1"/>
    <xf numFmtId="0" fontId="13" fillId="7" borderId="0" xfId="0" applyFont="1" applyFill="1"/>
    <xf numFmtId="0" fontId="16" fillId="7" borderId="0" xfId="0" applyFont="1" applyFill="1"/>
    <xf numFmtId="1" fontId="0" fillId="0" borderId="0" xfId="0" applyNumberFormat="1"/>
    <xf numFmtId="168" fontId="16" fillId="7" borderId="0" xfId="0" applyNumberFormat="1" applyFont="1" applyFill="1"/>
    <xf numFmtId="168" fontId="16" fillId="0" borderId="0" xfId="0" applyNumberFormat="1" applyFont="1"/>
    <xf numFmtId="167" fontId="16" fillId="0" borderId="0" xfId="0" applyNumberFormat="1" applyFont="1"/>
    <xf numFmtId="0" fontId="17" fillId="0" borderId="0" xfId="0" applyFont="1"/>
    <xf numFmtId="0" fontId="17" fillId="6" borderId="0" xfId="0" applyFont="1" applyFill="1"/>
    <xf numFmtId="0" fontId="16" fillId="8" borderId="0" xfId="0" applyFont="1" applyFill="1"/>
    <xf numFmtId="0" fontId="18" fillId="0" borderId="0" xfId="0" applyFont="1"/>
    <xf numFmtId="165" fontId="14" fillId="0" borderId="0" xfId="0" applyNumberFormat="1" applyFont="1"/>
    <xf numFmtId="168" fontId="14" fillId="0" borderId="0" xfId="0" applyNumberFormat="1" applyFont="1"/>
    <xf numFmtId="167" fontId="15" fillId="0" borderId="0" xfId="0" applyNumberFormat="1" applyFont="1"/>
    <xf numFmtId="1" fontId="1" fillId="0" borderId="0" xfId="0" applyNumberFormat="1" applyFont="1"/>
    <xf numFmtId="14" fontId="14" fillId="0" borderId="0" xfId="0" applyNumberFormat="1" applyFont="1"/>
    <xf numFmtId="10" fontId="14" fillId="0" borderId="0" xfId="0" applyNumberFormat="1" applyFont="1"/>
    <xf numFmtId="14" fontId="14" fillId="5" borderId="0" xfId="0" applyNumberFormat="1" applyFont="1" applyFill="1"/>
    <xf numFmtId="0" fontId="0" fillId="5" borderId="0" xfId="0" applyFill="1"/>
    <xf numFmtId="0" fontId="14" fillId="5" borderId="0" xfId="0" applyFont="1" applyFill="1"/>
    <xf numFmtId="166" fontId="21" fillId="0" borderId="0" xfId="0" applyNumberFormat="1" applyFont="1" applyAlignment="1">
      <alignment horizontal="right"/>
    </xf>
    <xf numFmtId="0" fontId="21" fillId="0" borderId="0" xfId="0" applyFont="1"/>
    <xf numFmtId="0" fontId="21" fillId="0" borderId="0" xfId="0" applyFont="1" applyProtection="1">
      <protection locked="0"/>
    </xf>
    <xf numFmtId="0" fontId="22" fillId="0" borderId="0" xfId="0" applyFont="1"/>
    <xf numFmtId="0" fontId="23" fillId="0" borderId="0" xfId="0" applyFont="1"/>
    <xf numFmtId="0" fontId="24" fillId="0" borderId="3" xfId="0" applyFont="1" applyBorder="1"/>
    <xf numFmtId="0" fontId="21" fillId="0" borderId="3" xfId="0" applyFont="1" applyBorder="1"/>
    <xf numFmtId="0" fontId="25" fillId="0" borderId="0" xfId="0" applyFont="1"/>
    <xf numFmtId="166" fontId="26" fillId="0" borderId="0" xfId="0" applyNumberFormat="1" applyFont="1" applyAlignment="1">
      <alignment horizontal="right"/>
    </xf>
    <xf numFmtId="168" fontId="26" fillId="0" borderId="0" xfId="0" applyNumberFormat="1" applyFont="1" applyAlignment="1">
      <alignment horizontal="right"/>
    </xf>
    <xf numFmtId="171" fontId="26" fillId="0" borderId="0" xfId="0" applyNumberFormat="1" applyFont="1" applyAlignment="1">
      <alignment horizontal="right"/>
    </xf>
    <xf numFmtId="167" fontId="26" fillId="0" borderId="0" xfId="0" applyNumberFormat="1" applyFont="1" applyAlignment="1">
      <alignment horizontal="right"/>
    </xf>
    <xf numFmtId="172" fontId="26" fillId="0" borderId="0" xfId="0" applyNumberFormat="1" applyFont="1" applyAlignment="1">
      <alignment horizontal="right"/>
    </xf>
    <xf numFmtId="166" fontId="28" fillId="0" borderId="0" xfId="0" applyNumberFormat="1" applyFont="1" applyAlignment="1">
      <alignment horizontal="right"/>
    </xf>
    <xf numFmtId="0" fontId="27" fillId="10" borderId="5" xfId="0" applyFont="1" applyFill="1" applyBorder="1" applyAlignment="1">
      <alignment horizontal="center"/>
    </xf>
    <xf numFmtId="170" fontId="21" fillId="0" borderId="6" xfId="0" applyNumberFormat="1" applyFont="1" applyBorder="1" applyAlignment="1">
      <alignment horizontal="left"/>
    </xf>
    <xf numFmtId="166" fontId="28" fillId="0" borderId="6" xfId="0" applyNumberFormat="1" applyFont="1" applyBorder="1" applyAlignment="1">
      <alignment horizontal="right"/>
    </xf>
    <xf numFmtId="168" fontId="21" fillId="0" borderId="6" xfId="0" applyNumberFormat="1" applyFont="1" applyBorder="1" applyAlignment="1">
      <alignment horizontal="right"/>
    </xf>
    <xf numFmtId="173" fontId="21" fillId="0" borderId="6" xfId="0" applyNumberFormat="1" applyFont="1" applyBorder="1" applyAlignment="1">
      <alignment horizontal="right"/>
    </xf>
    <xf numFmtId="170" fontId="21" fillId="0" borderId="8" xfId="0" applyNumberFormat="1" applyFont="1" applyBorder="1" applyAlignment="1">
      <alignment horizontal="left"/>
    </xf>
    <xf numFmtId="166" fontId="28" fillId="0" borderId="8" xfId="0" applyNumberFormat="1" applyFont="1" applyBorder="1" applyAlignment="1">
      <alignment horizontal="right"/>
    </xf>
    <xf numFmtId="168" fontId="21" fillId="0" borderId="8" xfId="0" applyNumberFormat="1" applyFont="1" applyBorder="1" applyAlignment="1">
      <alignment horizontal="right"/>
    </xf>
    <xf numFmtId="173" fontId="21" fillId="0" borderId="8" xfId="0" applyNumberFormat="1" applyFont="1" applyBorder="1" applyAlignment="1">
      <alignment horizontal="right"/>
    </xf>
    <xf numFmtId="170" fontId="21" fillId="0" borderId="9" xfId="0" applyNumberFormat="1" applyFont="1" applyBorder="1" applyAlignment="1">
      <alignment horizontal="left"/>
    </xf>
    <xf numFmtId="166" fontId="28" fillId="0" borderId="9" xfId="0" applyNumberFormat="1" applyFont="1" applyBorder="1" applyAlignment="1">
      <alignment horizontal="right"/>
    </xf>
    <xf numFmtId="168" fontId="21" fillId="0" borderId="9" xfId="0" applyNumberFormat="1" applyFont="1" applyBorder="1" applyAlignment="1">
      <alignment horizontal="right"/>
    </xf>
    <xf numFmtId="173" fontId="21" fillId="0" borderId="9" xfId="0" applyNumberFormat="1" applyFont="1" applyBorder="1" applyAlignment="1">
      <alignment horizontal="right"/>
    </xf>
    <xf numFmtId="0" fontId="24" fillId="0" borderId="3" xfId="0" applyFont="1" applyBorder="1" applyProtection="1">
      <protection locked="0"/>
    </xf>
    <xf numFmtId="0" fontId="21" fillId="0" borderId="3" xfId="0" applyFont="1" applyBorder="1" applyProtection="1">
      <protection locked="0"/>
    </xf>
    <xf numFmtId="0" fontId="29" fillId="0" borderId="0" xfId="0" applyFont="1" applyProtection="1">
      <protection locked="0"/>
    </xf>
    <xf numFmtId="168" fontId="20" fillId="0" borderId="0" xfId="0" applyNumberFormat="1" applyFont="1" applyProtection="1">
      <protection locked="0"/>
    </xf>
    <xf numFmtId="4" fontId="21" fillId="0" borderId="0" xfId="0" applyNumberFormat="1" applyFont="1"/>
    <xf numFmtId="0" fontId="30" fillId="0" borderId="0" xfId="0" applyFont="1"/>
    <xf numFmtId="166" fontId="31" fillId="0" borderId="0" xfId="0" applyNumberFormat="1" applyFont="1" applyAlignment="1">
      <alignment horizontal="right"/>
    </xf>
    <xf numFmtId="168" fontId="31" fillId="0" borderId="0" xfId="0" applyNumberFormat="1" applyFont="1" applyAlignment="1">
      <alignment horizontal="right"/>
    </xf>
    <xf numFmtId="0" fontId="19" fillId="9" borderId="0" xfId="0" applyFont="1" applyFill="1"/>
    <xf numFmtId="0" fontId="19" fillId="9" borderId="1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21" fillId="0" borderId="10" xfId="0" applyFont="1" applyBorder="1"/>
    <xf numFmtId="0" fontId="29" fillId="0" borderId="0" xfId="0" applyFont="1"/>
    <xf numFmtId="168" fontId="21" fillId="0" borderId="0" xfId="0" applyNumberFormat="1" applyFont="1" applyAlignment="1">
      <alignment horizontal="right"/>
    </xf>
    <xf numFmtId="0" fontId="29" fillId="0" borderId="4" xfId="0" applyFont="1" applyBorder="1"/>
    <xf numFmtId="0" fontId="33" fillId="0" borderId="0" xfId="0" applyFont="1"/>
    <xf numFmtId="8" fontId="21" fillId="0" borderId="0" xfId="0" applyNumberFormat="1" applyFont="1"/>
    <xf numFmtId="0" fontId="29" fillId="0" borderId="2" xfId="0" applyFont="1" applyBorder="1"/>
    <xf numFmtId="166" fontId="28" fillId="0" borderId="2" xfId="0" applyNumberFormat="1" applyFont="1" applyBorder="1" applyAlignment="1">
      <alignment horizontal="right"/>
    </xf>
    <xf numFmtId="0" fontId="29" fillId="0" borderId="7" xfId="0" applyFont="1" applyBorder="1"/>
    <xf numFmtId="166" fontId="28" fillId="0" borderId="7" xfId="0" applyNumberFormat="1" applyFont="1" applyBorder="1" applyAlignment="1">
      <alignment horizontal="right"/>
    </xf>
    <xf numFmtId="0" fontId="29" fillId="0" borderId="8" xfId="0" applyFont="1" applyBorder="1"/>
    <xf numFmtId="10" fontId="28" fillId="0" borderId="8" xfId="0" applyNumberFormat="1" applyFont="1" applyBorder="1" applyAlignment="1">
      <alignment horizontal="right"/>
    </xf>
    <xf numFmtId="3" fontId="28" fillId="0" borderId="8" xfId="0" applyNumberFormat="1" applyFont="1" applyBorder="1" applyAlignment="1">
      <alignment horizontal="right"/>
    </xf>
    <xf numFmtId="166" fontId="28" fillId="0" borderId="7" xfId="1" applyNumberFormat="1" applyFont="1" applyBorder="1" applyAlignment="1">
      <alignment horizontal="right"/>
    </xf>
    <xf numFmtId="9" fontId="21" fillId="0" borderId="0" xfId="1" applyFont="1" applyBorder="1"/>
    <xf numFmtId="168" fontId="21" fillId="0" borderId="2" xfId="0" applyNumberFormat="1" applyFont="1" applyBorder="1" applyAlignment="1">
      <alignment horizontal="right"/>
    </xf>
    <xf numFmtId="166" fontId="21" fillId="0" borderId="8" xfId="0" applyNumberFormat="1" applyFont="1" applyBorder="1" applyAlignment="1">
      <alignment horizontal="right"/>
    </xf>
    <xf numFmtId="169" fontId="21" fillId="0" borderId="8" xfId="0" applyNumberFormat="1" applyFont="1" applyBorder="1" applyAlignment="1">
      <alignment horizontal="right"/>
    </xf>
    <xf numFmtId="167" fontId="21" fillId="0" borderId="7" xfId="0" applyNumberFormat="1" applyFont="1" applyBorder="1" applyAlignment="1">
      <alignment horizontal="right"/>
    </xf>
    <xf numFmtId="0" fontId="34" fillId="0" borderId="8" xfId="0" applyFont="1" applyBorder="1"/>
    <xf numFmtId="168" fontId="20" fillId="0" borderId="8" xfId="0" applyNumberFormat="1" applyFont="1" applyBorder="1" applyAlignment="1">
      <alignment horizontal="right"/>
    </xf>
    <xf numFmtId="166" fontId="20" fillId="0" borderId="0" xfId="0" applyNumberFormat="1" applyFont="1" applyAlignment="1">
      <alignment horizontal="right"/>
    </xf>
    <xf numFmtId="0" fontId="29" fillId="0" borderId="10" xfId="0" applyFont="1" applyBorder="1"/>
    <xf numFmtId="168" fontId="21" fillId="0" borderId="10" xfId="0" applyNumberFormat="1" applyFont="1" applyBorder="1" applyAlignment="1">
      <alignment horizontal="right"/>
    </xf>
    <xf numFmtId="0" fontId="35" fillId="11" borderId="0" xfId="0" applyFont="1" applyFill="1"/>
    <xf numFmtId="0" fontId="21" fillId="11" borderId="0" xfId="0" applyFont="1" applyFill="1"/>
    <xf numFmtId="168" fontId="21" fillId="0" borderId="4" xfId="0" applyNumberFormat="1" applyFont="1" applyBorder="1" applyAlignment="1">
      <alignment horizontal="right"/>
    </xf>
    <xf numFmtId="0" fontId="21" fillId="0" borderId="4" xfId="0" applyFont="1" applyBorder="1"/>
    <xf numFmtId="167" fontId="31" fillId="0" borderId="10" xfId="0" applyNumberFormat="1" applyFont="1" applyBorder="1" applyAlignment="1">
      <alignment horizontal="right"/>
    </xf>
    <xf numFmtId="166" fontId="36" fillId="11" borderId="0" xfId="0" applyNumberFormat="1" applyFont="1" applyFill="1"/>
    <xf numFmtId="166" fontId="21" fillId="0" borderId="4" xfId="0" applyNumberFormat="1" applyFont="1" applyBorder="1" applyAlignment="1">
      <alignment horizontal="right"/>
    </xf>
    <xf numFmtId="0" fontId="32" fillId="0" borderId="0" xfId="0" quotePrefix="1" applyFont="1" applyAlignment="1">
      <alignment horizontal="center"/>
    </xf>
    <xf numFmtId="8" fontId="32" fillId="0" borderId="0" xfId="0" quotePrefix="1" applyNumberFormat="1" applyFont="1" applyAlignment="1">
      <alignment horizontal="center"/>
    </xf>
    <xf numFmtId="0" fontId="20" fillId="0" borderId="8" xfId="0" applyFont="1" applyBorder="1" applyAlignment="1">
      <alignment horizontal="right"/>
    </xf>
    <xf numFmtId="0" fontId="20" fillId="0" borderId="0" xfId="0" applyFont="1"/>
    <xf numFmtId="0" fontId="37" fillId="9" borderId="0" xfId="0" applyFont="1" applyFill="1" applyAlignment="1">
      <alignment horizontal="center"/>
    </xf>
    <xf numFmtId="0" fontId="28" fillId="0" borderId="0" xfId="0" applyFont="1"/>
    <xf numFmtId="0" fontId="28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9" fillId="0" borderId="0" xfId="0" applyFont="1" applyAlignment="1">
      <alignment horizontal="center"/>
    </xf>
    <xf numFmtId="168" fontId="28" fillId="0" borderId="0" xfId="0" applyNumberFormat="1" applyFont="1" applyAlignment="1">
      <alignment horizontal="right"/>
    </xf>
    <xf numFmtId="174" fontId="20" fillId="0" borderId="0" xfId="0" applyNumberFormat="1" applyFont="1" applyAlignment="1">
      <alignment horizontal="right"/>
    </xf>
    <xf numFmtId="0" fontId="29" fillId="0" borderId="8" xfId="0" applyFont="1" applyBorder="1" applyAlignment="1">
      <alignment horizontal="center"/>
    </xf>
    <xf numFmtId="168" fontId="28" fillId="0" borderId="8" xfId="0" applyNumberFormat="1" applyFont="1" applyBorder="1" applyAlignment="1">
      <alignment horizontal="right"/>
    </xf>
    <xf numFmtId="166" fontId="20" fillId="0" borderId="8" xfId="0" applyNumberFormat="1" applyFont="1" applyBorder="1" applyAlignment="1">
      <alignment horizontal="right"/>
    </xf>
    <xf numFmtId="174" fontId="20" fillId="0" borderId="8" xfId="0" applyNumberFormat="1" applyFont="1" applyBorder="1" applyAlignment="1">
      <alignment horizontal="right"/>
    </xf>
    <xf numFmtId="0" fontId="29" fillId="0" borderId="9" xfId="0" applyFont="1" applyBorder="1" applyAlignment="1">
      <alignment horizontal="center"/>
    </xf>
    <xf numFmtId="168" fontId="28" fillId="0" borderId="9" xfId="0" applyNumberFormat="1" applyFont="1" applyBorder="1" applyAlignment="1">
      <alignment horizontal="right"/>
    </xf>
    <xf numFmtId="166" fontId="20" fillId="0" borderId="9" xfId="0" applyNumberFormat="1" applyFont="1" applyBorder="1" applyAlignment="1">
      <alignment horizontal="right"/>
    </xf>
    <xf numFmtId="166" fontId="21" fillId="0" borderId="9" xfId="0" applyNumberFormat="1" applyFont="1" applyBorder="1" applyAlignment="1">
      <alignment horizontal="right"/>
    </xf>
    <xf numFmtId="174" fontId="20" fillId="0" borderId="9" xfId="0" applyNumberFormat="1" applyFont="1" applyBorder="1" applyAlignment="1">
      <alignment horizontal="right"/>
    </xf>
    <xf numFmtId="0" fontId="20" fillId="12" borderId="0" xfId="0" applyFont="1" applyFill="1"/>
    <xf numFmtId="0" fontId="21" fillId="12" borderId="0" xfId="0" applyFont="1" applyFill="1"/>
    <xf numFmtId="174" fontId="20" fillId="12" borderId="0" xfId="0" applyNumberFormat="1" applyFont="1" applyFill="1"/>
    <xf numFmtId="0" fontId="24" fillId="0" borderId="0" xfId="0" applyFont="1"/>
    <xf numFmtId="0" fontId="38" fillId="0" borderId="0" xfId="0" applyFont="1"/>
    <xf numFmtId="169" fontId="31" fillId="0" borderId="0" xfId="0" applyNumberFormat="1" applyFont="1" applyAlignment="1">
      <alignment horizontal="right"/>
    </xf>
    <xf numFmtId="167" fontId="20" fillId="0" borderId="0" xfId="0" applyNumberFormat="1" applyFont="1" applyAlignment="1">
      <alignment horizontal="right"/>
    </xf>
    <xf numFmtId="167" fontId="28" fillId="0" borderId="0" xfId="0" applyNumberFormat="1" applyFont="1" applyAlignment="1">
      <alignment horizontal="right"/>
    </xf>
    <xf numFmtId="167" fontId="21" fillId="0" borderId="0" xfId="0" applyNumberFormat="1" applyFont="1" applyAlignment="1">
      <alignment horizontal="right"/>
    </xf>
    <xf numFmtId="0" fontId="36" fillId="0" borderId="0" xfId="0" applyFont="1" applyAlignment="1">
      <alignment horizontal="right"/>
    </xf>
    <xf numFmtId="173" fontId="21" fillId="0" borderId="0" xfId="0" applyNumberFormat="1" applyFont="1" applyAlignment="1">
      <alignment horizontal="right"/>
    </xf>
    <xf numFmtId="17" fontId="28" fillId="0" borderId="0" xfId="0" applyNumberFormat="1" applyFont="1" applyAlignment="1">
      <alignment horizontal="right"/>
    </xf>
    <xf numFmtId="167" fontId="31" fillId="0" borderId="0" xfId="0" applyNumberFormat="1" applyFont="1" applyAlignment="1">
      <alignment horizontal="right"/>
    </xf>
    <xf numFmtId="0" fontId="38" fillId="0" borderId="10" xfId="0" applyFont="1" applyBorder="1"/>
    <xf numFmtId="0" fontId="28" fillId="0" borderId="10" xfId="0" applyFont="1" applyBorder="1" applyAlignment="1">
      <alignment horizontal="right"/>
    </xf>
    <xf numFmtId="166" fontId="35" fillId="0" borderId="0" xfId="0" applyNumberFormat="1" applyFont="1" applyAlignment="1">
      <alignment horizontal="right"/>
    </xf>
    <xf numFmtId="0" fontId="20" fillId="0" borderId="4" xfId="0" applyFont="1" applyBorder="1"/>
    <xf numFmtId="166" fontId="35" fillId="0" borderId="4" xfId="0" applyNumberFormat="1" applyFont="1" applyBorder="1" applyAlignment="1">
      <alignment horizontal="right"/>
    </xf>
    <xf numFmtId="0" fontId="39" fillId="0" borderId="0" xfId="0" applyFont="1"/>
    <xf numFmtId="0" fontId="40" fillId="0" borderId="0" xfId="0" applyFont="1"/>
    <xf numFmtId="0" fontId="0" fillId="13" borderId="0" xfId="0" applyFill="1"/>
    <xf numFmtId="0" fontId="0" fillId="14" borderId="0" xfId="0" applyFill="1"/>
    <xf numFmtId="0" fontId="0" fillId="0" borderId="0" xfId="0" applyFont="1"/>
    <xf numFmtId="0" fontId="0" fillId="15" borderId="0" xfId="0" applyFill="1"/>
    <xf numFmtId="167" fontId="0" fillId="0" borderId="0" xfId="0" applyNumberFormat="1"/>
    <xf numFmtId="168" fontId="0" fillId="0" borderId="0" xfId="0" applyNumberFormat="1" applyFont="1"/>
    <xf numFmtId="1" fontId="0" fillId="0" borderId="0" xfId="0" applyNumberFormat="1" applyFont="1"/>
    <xf numFmtId="0" fontId="13" fillId="0" borderId="0" xfId="0" applyFont="1"/>
    <xf numFmtId="0" fontId="42" fillId="8" borderId="0" xfId="0" applyFont="1" applyFill="1"/>
    <xf numFmtId="168" fontId="1" fillId="0" borderId="0" xfId="0" applyNumberFormat="1" applyFont="1"/>
    <xf numFmtId="168" fontId="43" fillId="0" borderId="0" xfId="0" applyNumberFormat="1" applyFont="1"/>
    <xf numFmtId="165" fontId="0" fillId="0" borderId="0" xfId="0" applyNumberFormat="1" applyFont="1"/>
    <xf numFmtId="175" fontId="0" fillId="0" borderId="0" xfId="0" applyNumberFormat="1" applyFont="1"/>
    <xf numFmtId="0" fontId="16" fillId="16" borderId="0" xfId="0" applyFont="1" applyFill="1"/>
    <xf numFmtId="0" fontId="17" fillId="13" borderId="0" xfId="0" applyFont="1" applyFill="1"/>
    <xf numFmtId="0" fontId="42" fillId="0" borderId="11" xfId="0" applyFont="1" applyBorder="1"/>
    <xf numFmtId="14" fontId="44" fillId="0" borderId="11" xfId="0" applyNumberFormat="1" applyFont="1" applyBorder="1"/>
    <xf numFmtId="0" fontId="16" fillId="5" borderId="11" xfId="0" applyFont="1" applyFill="1" applyBorder="1"/>
    <xf numFmtId="0" fontId="1" fillId="0" borderId="0" xfId="0" applyFont="1" applyBorder="1"/>
    <xf numFmtId="164" fontId="1" fillId="0" borderId="0" xfId="0" applyNumberFormat="1" applyFont="1" applyBorder="1"/>
    <xf numFmtId="0" fontId="1" fillId="4" borderId="0" xfId="0" applyFont="1" applyFill="1" applyBorder="1"/>
    <xf numFmtId="14" fontId="0" fillId="0" borderId="0" xfId="0" applyNumberFormat="1" applyBorder="1"/>
    <xf numFmtId="0" fontId="0" fillId="0" borderId="0" xfId="0" applyBorder="1"/>
    <xf numFmtId="0" fontId="0" fillId="14" borderId="0" xfId="0" applyFill="1" applyBorder="1"/>
    <xf numFmtId="165" fontId="14" fillId="0" borderId="0" xfId="0" applyNumberFormat="1" applyFont="1" applyBorder="1"/>
    <xf numFmtId="168" fontId="0" fillId="0" borderId="0" xfId="0" applyNumberFormat="1" applyBorder="1"/>
    <xf numFmtId="0" fontId="0" fillId="0" borderId="12" xfId="0" applyBorder="1"/>
    <xf numFmtId="0" fontId="1" fillId="0" borderId="12" xfId="0" applyFont="1" applyBorder="1"/>
    <xf numFmtId="14" fontId="0" fillId="0" borderId="12" xfId="0" applyNumberFormat="1" applyBorder="1"/>
    <xf numFmtId="0" fontId="0" fillId="0" borderId="3" xfId="0" applyBorder="1"/>
    <xf numFmtId="0" fontId="1" fillId="0" borderId="3" xfId="0" applyFont="1" applyBorder="1"/>
    <xf numFmtId="14" fontId="0" fillId="0" borderId="3" xfId="0" applyNumberFormat="1" applyBorder="1"/>
    <xf numFmtId="0" fontId="16" fillId="5" borderId="0" xfId="0" applyFont="1" applyFill="1" applyBorder="1"/>
    <xf numFmtId="0" fontId="45" fillId="17" borderId="0" xfId="0" applyFont="1" applyFill="1"/>
    <xf numFmtId="0" fontId="0" fillId="17" borderId="0" xfId="0" applyFill="1"/>
    <xf numFmtId="0" fontId="46" fillId="0" borderId="0" xfId="0" applyFont="1"/>
    <xf numFmtId="166" fontId="46" fillId="13" borderId="0" xfId="0" applyNumberFormat="1" applyFont="1" applyFill="1"/>
    <xf numFmtId="166" fontId="47" fillId="0" borderId="0" xfId="0" applyNumberFormat="1" applyFont="1"/>
    <xf numFmtId="0" fontId="41" fillId="3" borderId="0" xfId="0" applyFont="1" applyFill="1" applyAlignment="1"/>
  </cellXfs>
  <cellStyles count="2">
    <cellStyle name="Normal" xfId="0" builtinId="0"/>
    <cellStyle name="Percent" xfId="1" builtinId="5"/>
  </cellStyles>
  <dxfs count="36">
    <dxf>
      <font>
        <b/>
        <i val="0"/>
        <color theme="7"/>
      </font>
    </dxf>
    <dxf>
      <font>
        <b/>
        <i val="0"/>
        <color rgb="FFFF0000"/>
      </font>
    </dxf>
    <dxf>
      <fill>
        <patternFill patternType="solid">
          <fgColor indexed="64"/>
          <bgColor rgb="FFF4C7C3"/>
        </patternFill>
      </fill>
    </dxf>
    <dxf>
      <fill>
        <patternFill patternType="solid">
          <fgColor indexed="64"/>
          <bgColor rgb="FFB7E1CD"/>
        </patternFill>
      </fill>
    </dxf>
    <dxf>
      <fill>
        <patternFill patternType="solid">
          <fgColor indexed="64"/>
          <bgColor rgb="FFFCE8B2"/>
        </patternFill>
      </fill>
    </dxf>
    <dxf>
      <fill>
        <patternFill patternType="solid">
          <fgColor indexed="64"/>
          <bgColor rgb="FFF4C7C3"/>
        </patternFill>
      </fill>
    </dxf>
    <dxf>
      <fill>
        <patternFill patternType="solid">
          <fgColor indexed="64"/>
          <bgColor rgb="FFD0E0F0"/>
        </patternFill>
      </fill>
    </dxf>
    <dxf>
      <fill>
        <patternFill patternType="solid">
          <fgColor indexed="64"/>
          <bgColor rgb="FFF4C7C3"/>
        </patternFill>
      </fill>
    </dxf>
    <dxf>
      <fill>
        <patternFill patternType="solid">
          <fgColor indexed="64"/>
          <bgColor rgb="FFFCE8B2"/>
        </patternFill>
      </fill>
    </dxf>
    <dxf>
      <fill>
        <patternFill patternType="solid">
          <fgColor indexed="64"/>
          <bgColor rgb="FFB7E1CD"/>
        </patternFill>
      </fill>
    </dxf>
    <dxf>
      <fill>
        <patternFill patternType="solid">
          <fgColor indexed="64"/>
          <bgColor rgb="FFF4C7C3"/>
        </patternFill>
      </fill>
    </dxf>
    <dxf>
      <fill>
        <patternFill patternType="solid">
          <fgColor indexed="64"/>
          <bgColor rgb="FFF4C7C3"/>
        </patternFill>
      </fill>
    </dxf>
    <dxf>
      <fill>
        <patternFill patternType="solid">
          <fgColor indexed="64"/>
          <bgColor rgb="FFFCE8B2"/>
        </patternFill>
      </fill>
    </dxf>
    <dxf>
      <fill>
        <patternFill patternType="solid">
          <fgColor indexed="64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ont>
        <b/>
        <i val="0"/>
        <color rgb="FFFF0000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4C7C3"/>
        </patternFill>
      </fill>
    </dxf>
    <dxf>
      <fill>
        <patternFill patternType="solid">
          <fgColor indexed="64"/>
          <bgColor rgb="FFB7E1CD"/>
        </patternFill>
      </fill>
    </dxf>
    <dxf>
      <fill>
        <patternFill patternType="solid">
          <fgColor indexed="64"/>
          <bgColor rgb="FFF4C7C3"/>
        </patternFill>
      </fill>
    </dxf>
    <dxf>
      <fill>
        <patternFill patternType="solid">
          <fgColor indexed="64"/>
          <bgColor rgb="FFB7E1CD"/>
        </patternFill>
      </fill>
    </dxf>
    <dxf>
      <fill>
        <patternFill patternType="solid">
          <fgColor indexed="64"/>
          <bgColor rgb="FFF4C7C3"/>
        </patternFill>
      </fill>
    </dxf>
    <dxf>
      <fill>
        <patternFill patternType="solid">
          <fgColor indexed="64"/>
          <bgColor rgb="FFD5D8DC"/>
        </patternFill>
      </fill>
    </dxf>
    <dxf>
      <fill>
        <patternFill patternType="solid">
          <fgColor indexed="64"/>
          <bgColor rgb="FFB7E1CD"/>
        </patternFill>
      </fill>
    </dxf>
    <dxf>
      <fill>
        <patternFill patternType="solid">
          <fgColor indexed="64"/>
          <bgColor rgb="FFD5D8DC"/>
        </patternFill>
      </fill>
    </dxf>
    <dxf>
      <fill>
        <patternFill patternType="solid">
          <fgColor indexed="64"/>
          <bgColor rgb="FFB7E1CD"/>
        </patternFill>
      </fill>
    </dxf>
    <dxf>
      <font>
        <color rgb="FF006600"/>
      </font>
      <fill>
        <patternFill patternType="solid">
          <fgColor indexed="64"/>
          <bgColor rgb="FFB7E1CD"/>
        </patternFill>
      </fill>
    </dxf>
    <dxf>
      <font>
        <color rgb="FF996600"/>
      </font>
      <fill>
        <patternFill patternType="solid">
          <fgColor indexed="64"/>
          <bgColor rgb="FFFFF9C4"/>
        </patternFill>
      </fill>
    </dxf>
    <dxf>
      <font>
        <color rgb="FFCC0000"/>
      </font>
      <fill>
        <patternFill patternType="solid">
          <fgColor indexed="64"/>
          <bgColor rgb="FFFFCCCC"/>
        </patternFill>
      </fill>
    </dxf>
    <dxf>
      <fill>
        <patternFill patternType="solid">
          <fgColor indexed="64"/>
          <bgColor rgb="FFF4C7C3"/>
        </patternFill>
      </fill>
    </dxf>
    <dxf>
      <fill>
        <patternFill patternType="solid">
          <fgColor indexed="64"/>
          <bgColor rgb="FFFCE8B2"/>
        </patternFill>
      </fill>
    </dxf>
    <dxf>
      <fill>
        <patternFill patternType="solid">
          <fgColor indexed="64"/>
          <bgColor rgb="FFB7E1CD"/>
        </patternFill>
      </fill>
    </dxf>
    <dxf>
      <fill>
        <patternFill patternType="solid">
          <fgColor indexed="64"/>
          <bgColor rgb="FFF4C7C3"/>
        </patternFill>
      </fill>
    </dxf>
    <dxf>
      <fill>
        <patternFill patternType="solid">
          <fgColor indexed="64"/>
          <bgColor rgb="FFFCE8B2"/>
        </patternFill>
      </fill>
    </dxf>
    <dxf>
      <fill>
        <patternFill patternType="solid">
          <fgColor indexed="64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Worth Trend —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'Wealth Management 2026'!$B$47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'Wealth Management 2026'!$A$48:$A$50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'Wealth Management 2026'!$B$48:$B$50</c:f>
              <c:numCache>
                <c:formatCode>"$"#,##0</c:formatCode>
                <c:ptCount val="3"/>
                <c:pt idx="0">
                  <c:v>50123.35</c:v>
                </c:pt>
                <c:pt idx="1">
                  <c:v>50323.35</c:v>
                </c:pt>
                <c:pt idx="2">
                  <c:v>48412.899999999994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43-4B02-9704-0E33551BFA9D}"/>
            </c:ext>
          </c:extLst>
        </c:ser>
        <c:ser>
          <c:idx val="1"/>
          <c:order val="1"/>
          <c:tx>
            <c:strRef>
              <c:f>'Wealth Management 2026'!$C$47</c:f>
              <c:strCache>
                <c:ptCount val="1"/>
                <c:pt idx="0">
                  <c:v>Total Liabilities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'Wealth Management 2026'!$A$48:$A$50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'Wealth Management 2026'!$C$48:$C$50</c:f>
              <c:numCache>
                <c:formatCode>"$"#,##0</c:formatCode>
                <c:ptCount val="3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43-4B02-9704-0E33551BFA9D}"/>
            </c:ext>
          </c:extLst>
        </c:ser>
        <c:ser>
          <c:idx val="2"/>
          <c:order val="2"/>
          <c:tx>
            <c:strRef>
              <c:f>'Wealth Management 2026'!$D$47</c:f>
              <c:strCache>
                <c:ptCount val="1"/>
                <c:pt idx="0">
                  <c:v>Net Worth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'Wealth Management 2026'!$A$48:$A$50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'Wealth Management 2026'!$D$48:$D$50</c:f>
              <c:numCache>
                <c:formatCode>"$"#,##0</c:formatCode>
                <c:ptCount val="3"/>
                <c:pt idx="0">
                  <c:v>20123.349999999999</c:v>
                </c:pt>
                <c:pt idx="1">
                  <c:v>20323.349999999999</c:v>
                </c:pt>
                <c:pt idx="2">
                  <c:v>18412.899999999994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43-4B02-9704-0E33551BF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753776"/>
        <c:axId val="242755216"/>
      </c:lineChart>
      <c:catAx>
        <c:axId val="24275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755216"/>
        <c:crosses val="autoZero"/>
        <c:auto val="1"/>
        <c:lblAlgn val="ctr"/>
        <c:lblOffset val="100"/>
        <c:noMultiLvlLbl val="0"/>
      </c:catAx>
      <c:valAx>
        <c:axId val="2427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75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Asset Allocation (Current)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0A-4E48-B15A-803366ED37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0A-4E48-B15A-803366ED37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0A-4E48-B15A-803366ED37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00A-4E48-B15A-803366ED3785}"/>
              </c:ext>
            </c:extLst>
          </c:dPt>
          <c:cat>
            <c:strRef>
              <c:f>'Wealth Management 2026'!$A$62:$A$65</c:f>
              <c:strCache>
                <c:ptCount val="4"/>
                <c:pt idx="0">
                  <c:v>HYSA</c:v>
                </c:pt>
                <c:pt idx="1">
                  <c:v>Brokerage</c:v>
                </c:pt>
                <c:pt idx="2">
                  <c:v>401(k)</c:v>
                </c:pt>
                <c:pt idx="3">
                  <c:v>Other Assets</c:v>
                </c:pt>
              </c:strCache>
            </c:strRef>
          </c:cat>
          <c:val>
            <c:numRef>
              <c:f>'Wealth Management 2026'!$B$62:$B$65</c:f>
              <c:numCache>
                <c:formatCode>"$"#,##0</c:formatCode>
                <c:ptCount val="4"/>
                <c:pt idx="0">
                  <c:v>12600</c:v>
                </c:pt>
                <c:pt idx="1">
                  <c:v>33962.449999999997</c:v>
                </c:pt>
                <c:pt idx="2">
                  <c:v>1850.45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D-4182-9E3F-2DADAEBD5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5080</xdr:colOff>
      <xdr:row>90</xdr:row>
      <xdr:rowOff>40640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4E28997-9223-454A-D57D-224BE05B4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66</xdr:row>
      <xdr:rowOff>0</xdr:rowOff>
    </xdr:from>
    <xdr:to>
      <xdr:col>9</xdr:col>
      <xdr:colOff>180340</xdr:colOff>
      <xdr:row>90</xdr:row>
      <xdr:rowOff>40640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880BFE7-0727-E4A5-984F-A5F91D4EB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shall Roberts" id="{C3C9F291-40A1-44B4-AB57-D8D3E999E323}" userId="85e6de51c7144b73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6-03-22T19:09:57.70" personId="{C3C9F291-40A1-44B4-AB57-D8D3E999E323}" id="{D197765A-FC62-4834-80E1-501BB15B14FD}">
    <text>Source: CarGurus listing #426326739, 2023 Toyota Camry SE AWD, 52,570 mi, accessed Mar 22 2026. https://www.cargurus.com/details/426326739</text>
  </threadedComment>
  <threadedComment ref="C14" dT="2026-03-22T19:09:57.70" personId="{C3C9F291-40A1-44B4-AB57-D8D3E999E323}" id="{712A3366-1748-4B5F-A551-84BCE75A482B}">
    <text>Source: CarGurus listing #440072860, 2023 Subaru Crosstrek, 72,574 mi, $19,721 incl. $221 delivery. https://www.cargurus.com/details/440072860</text>
  </threadedComment>
  <threadedComment ref="B16" dT="2026-03-22T19:09:57.70" personId="{C3C9F291-40A1-44B4-AB57-D8D3E999E323}" id="{B45D732D-4989-4803-9887-855D6DBD7CF8}">
    <text>Estimate: ~8% APR for prime-credit used car buyer. Experian Q4 2025 avg used = 11.26%, prime tier substantially lower. Pre-qualify to confirm.</text>
  </threadedComment>
  <threadedComment ref="B18" dT="2026-03-22T19:09:57.70" personId="{C3C9F291-40A1-44B4-AB57-D8D3E999E323}" id="{CFE42927-7041-45C7-BC6F-6B8FEBE87411}">
    <text>Estimate: Full coverage auto insurance, Buffalo NY, mid-20s male, 2023 sedan. Get actual quotes.</text>
  </threadedComment>
  <threadedComment ref="C18" dT="2026-03-22T19:09:57.70" personId="{C3C9F291-40A1-44B4-AB57-D8D3E999E323}" id="{E30D4556-A9A8-4178-ADAC-7B251911CA4D}">
    <text>Estimate: Full coverage auto insurance, Buffalo NY, mid-20s male, 2023 crossover. Get actual quotes.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17D0F7-59D8-4453-BBF5-DE1E4820AE82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507"/>
  <sheetViews>
    <sheetView workbookViewId="0">
      <pane ySplit="1" topLeftCell="A2" activePane="bottomLeft" state="frozen"/>
      <selection pane="bottomLeft" activeCell="C14" sqref="C14"/>
    </sheetView>
  </sheetViews>
  <sheetFormatPr defaultColWidth="12.7109375" defaultRowHeight="15.75" customHeight="1" outlineLevelCol="1"/>
  <cols>
    <col min="1" max="1" width="38.85546875" customWidth="1"/>
    <col min="2" max="2" width="20.28515625" customWidth="1"/>
    <col min="3" max="3" width="13.85546875" customWidth="1"/>
    <col min="4" max="4" width="17.5703125" customWidth="1"/>
    <col min="5" max="5" width="15.5703125" customWidth="1"/>
    <col min="6" max="6" width="12" customWidth="1"/>
    <col min="7" max="7" width="18.5703125" style="3" customWidth="1"/>
    <col min="8" max="9" width="18.5703125" customWidth="1"/>
    <col min="10" max="10" width="16.7109375" customWidth="1"/>
    <col min="11" max="11" width="12" customWidth="1"/>
    <col min="12" max="13" width="15.5703125" customWidth="1"/>
    <col min="14" max="14" width="33.28515625" customWidth="1" collapsed="1"/>
    <col min="15" max="15" width="0" hidden="1" customWidth="1" outlineLevel="1"/>
  </cols>
  <sheetData>
    <row r="1" spans="1:15" ht="13.5" thickBot="1">
      <c r="A1" s="173" t="s">
        <v>0</v>
      </c>
      <c r="B1" s="173" t="s">
        <v>1</v>
      </c>
      <c r="C1" s="173" t="s">
        <v>2</v>
      </c>
      <c r="D1" s="173" t="s">
        <v>3</v>
      </c>
      <c r="E1" s="173" t="s">
        <v>4</v>
      </c>
      <c r="F1" s="173" t="s">
        <v>5</v>
      </c>
      <c r="G1" s="174" t="s">
        <v>6</v>
      </c>
      <c r="H1" s="173" t="s">
        <v>7</v>
      </c>
      <c r="I1" s="173" t="s">
        <v>8</v>
      </c>
      <c r="J1" s="175" t="s">
        <v>9</v>
      </c>
      <c r="K1" s="175" t="s">
        <v>10</v>
      </c>
      <c r="L1" s="175" t="s">
        <v>11</v>
      </c>
      <c r="M1" s="175" t="s">
        <v>12</v>
      </c>
      <c r="N1" s="175" t="s">
        <v>13</v>
      </c>
      <c r="O1" s="190" t="s">
        <v>14</v>
      </c>
    </row>
    <row r="2" spans="1:15" ht="12.75">
      <c r="A2" s="1" t="s">
        <v>15</v>
      </c>
      <c r="B2" s="1">
        <v>27</v>
      </c>
      <c r="C2" s="1">
        <v>2</v>
      </c>
      <c r="D2" s="13">
        <f ca="1">IF(
  DATE(
    YEAR(TODAY()),
    MONTH(TODAY()),
    MIN(C2, DAY(EOMONTH(TODAY(), 0)))
  ) &gt;= TODAY(),
  DATE(
    YEAR(TODAY()),
    MONTH(TODAY()),
    MIN(C2, DAY(EOMONTH(TODAY(), 0)))
  ),
  EDATE(
    DATE(
      YEAR(TODAY()),
      MONTH(TODAY()),
      MIN(C2, DAY(EOMONTH(TODAY(), 0)))
    ),
    1
  )
)</f>
        <v>46114</v>
      </c>
      <c r="E2" s="1" t="s">
        <v>16</v>
      </c>
      <c r="F2" s="1" t="b">
        <v>1</v>
      </c>
      <c r="G2" s="3">
        <f ca="1">IF($D2="","",IFERROR($D2-Dashboard!$B$14,""))</f>
        <v>46113</v>
      </c>
      <c r="H2" t="b">
        <f ca="1">AND($F2=TRUE,$B2&gt;0,$D2&gt;=TODAY(),$D2&lt;Dashboard!$B$4)</f>
        <v>1</v>
      </c>
      <c r="I2" s="3">
        <f ca="1">IF(D2="","",D2-Dashboard!$B$14)</f>
        <v>46113</v>
      </c>
      <c r="J2" t="s">
        <v>17</v>
      </c>
      <c r="K2" s="158" t="b">
        <v>1</v>
      </c>
      <c r="L2" s="40"/>
      <c r="M2" s="26">
        <f t="shared" ref="M2:M13" si="0">IF(E2="Monthly",B2*12,IF(E2="Quarterly",B2*4,IF(E2="Annual",B2,B2*12)))</f>
        <v>324</v>
      </c>
      <c r="O2" cm="1">
        <f t="array" aca="1" ref="O2" ca="1">IF(AND(F2=TRUE,D2&lt;&gt;""),SUMPRODUCT((D$2:D$13&lt;D2)*(F$2:F$13=TRUE)*(D$2:D$13&lt;&gt;""))+SUMPRODUCT((D$2:D$13=D2)*(F$2:F$13=TRUE)*(D$2:D$13&lt;&gt;"")*($A$2:$A$13&lt;A2))+1,"")</f>
        <v>1</v>
      </c>
    </row>
    <row r="3" spans="1:15" ht="12.75">
      <c r="A3" s="1" t="s">
        <v>18</v>
      </c>
      <c r="B3" s="1">
        <v>65</v>
      </c>
      <c r="C3" s="1">
        <v>2</v>
      </c>
      <c r="D3" s="13">
        <f t="shared" ref="D3:D234" ca="1" si="1">IF(OR(C3="",F3=FALSE),"",IF(DATE(YEAR(TODAY()),MONTH(TODAY()),C3)&gt;=TODAY(),DATE(YEAR(TODAY()),MONTH(TODAY()),C3),EDATE(DATE(YEAR(TODAY()),MONTH(TODAY()),C3),1)))</f>
        <v>46114</v>
      </c>
      <c r="E3" s="1" t="s">
        <v>16</v>
      </c>
      <c r="F3" s="1" t="b">
        <v>1</v>
      </c>
      <c r="G3" s="3">
        <f ca="1">IF($D3="","",IFERROR($D3-Dashboard!$B$14,""))</f>
        <v>46113</v>
      </c>
      <c r="H3" t="b">
        <f ca="1">AND($F3=TRUE,$B3&gt;0,$D3&gt;=TODAY(),$D3&lt;Dashboard!$B$4)</f>
        <v>1</v>
      </c>
      <c r="I3" s="3">
        <f ca="1">IF(D3="","",D3-Dashboard!$B$14)</f>
        <v>46113</v>
      </c>
      <c r="J3" t="s">
        <v>19</v>
      </c>
      <c r="K3" s="158" t="b">
        <v>1</v>
      </c>
      <c r="L3" s="40"/>
      <c r="M3" s="26">
        <f t="shared" si="0"/>
        <v>780</v>
      </c>
      <c r="O3" cm="1">
        <f t="array" aca="1" ref="O3" ca="1">IF(AND(F3=TRUE,D3&lt;&gt;""),SUMPRODUCT((D$2:D$13&lt;D3)*(F$2:F$13=TRUE)*(D$2:D$13&lt;&gt;""))+SUMPRODUCT((D$2:D$13=D3)*(F$2:F$13=TRUE)*(D$2:D$13&lt;&gt;"")*($A$2:$A$13&lt;A3))+1,"")</f>
        <v>2</v>
      </c>
    </row>
    <row r="4" spans="1:15" ht="12.75">
      <c r="A4" s="5" t="s">
        <v>20</v>
      </c>
      <c r="B4" s="1">
        <v>21</v>
      </c>
      <c r="C4" s="1">
        <v>3</v>
      </c>
      <c r="D4" s="13">
        <f ca="1">IF(OR(C4="",F4=FALSE),"",IF(DATE(YEAR(TODAY()),MONTH(TODAY()),C4)&gt;=TODAY(),DATE(YEAR(TODAY()),MONTH(TODAY()),C4),EDATE(DATE(YEAR(TODAY()),MONTH(TODAY()),C4),1)))</f>
        <v>46115</v>
      </c>
      <c r="E4" s="1" t="s">
        <v>16</v>
      </c>
      <c r="F4" s="1" t="b">
        <v>1</v>
      </c>
      <c r="G4" s="3">
        <f ca="1">IF($D4="","",IFERROR($D4-Dashboard!$B$14,""))</f>
        <v>46114</v>
      </c>
      <c r="H4" t="b">
        <f ca="1">AND($F4=TRUE,$B4&gt;0,$D4&gt;=TODAY(),$D4&lt;Dashboard!$B$4)</f>
        <v>1</v>
      </c>
      <c r="I4" s="3">
        <f ca="1">IF(D4="","",D4-Dashboard!$B$14)</f>
        <v>46114</v>
      </c>
      <c r="J4" t="s">
        <v>17</v>
      </c>
      <c r="K4" s="158" t="b">
        <v>1</v>
      </c>
      <c r="L4" s="40"/>
      <c r="M4" s="26">
        <f t="shared" si="0"/>
        <v>252</v>
      </c>
      <c r="N4" t="s">
        <v>21</v>
      </c>
      <c r="O4" cm="1">
        <f t="array" aca="1" ref="O4" ca="1">IF(AND(F4=TRUE,D4&lt;&gt;""),SUMPRODUCT((D$2:D$13&lt;D4)*(F$2:F$13=TRUE)*(D$2:D$13&lt;&gt;""))+SUMPRODUCT((D$2:D$13=D4)*(F$2:F$13=TRUE)*(D$2:D$13&lt;&gt;"")*($A$2:$A$13&lt;A4))+1,"")</f>
        <v>3</v>
      </c>
    </row>
    <row r="5" spans="1:15" ht="12.75">
      <c r="A5" s="1" t="s">
        <v>22</v>
      </c>
      <c r="B5" s="1">
        <v>1000</v>
      </c>
      <c r="C5" s="1">
        <v>4</v>
      </c>
      <c r="D5" s="13">
        <f t="shared" ca="1" si="1"/>
        <v>46116</v>
      </c>
      <c r="E5" s="1" t="s">
        <v>16</v>
      </c>
      <c r="F5" s="1" t="b">
        <v>1</v>
      </c>
      <c r="G5" s="3">
        <f ca="1">IF($D5="","",IFERROR($D5-Dashboard!$B$14,""))</f>
        <v>46115</v>
      </c>
      <c r="H5" t="b">
        <f ca="1">AND($F5=TRUE,$B5&gt;0,$D5&gt;=TODAY(),$D5&lt;Dashboard!$B$4)</f>
        <v>1</v>
      </c>
      <c r="I5" s="3">
        <f ca="1">IF(D5="","",D5-Dashboard!$B$14)</f>
        <v>46115</v>
      </c>
      <c r="J5" t="s">
        <v>19</v>
      </c>
      <c r="K5" s="158" t="b">
        <v>1</v>
      </c>
      <c r="L5" s="40"/>
      <c r="M5" s="26">
        <f t="shared" si="0"/>
        <v>12000</v>
      </c>
      <c r="N5" t="s">
        <v>23</v>
      </c>
      <c r="O5" cm="1">
        <f t="array" aca="1" ref="O5" ca="1">IF(AND(F5=TRUE,D5&lt;&gt;""),SUMPRODUCT((D$2:D$13&lt;D5)*(F$2:F$13=TRUE)*(D$2:D$13&lt;&gt;""))+SUMPRODUCT((D$2:D$13=D5)*(F$2:F$13=TRUE)*(D$2:D$13&lt;&gt;"")*($A$2:$A$13&lt;A5))+1,"")</f>
        <v>4</v>
      </c>
    </row>
    <row r="6" spans="1:15" ht="12.75">
      <c r="A6" s="1" t="s">
        <v>24</v>
      </c>
      <c r="B6" s="1">
        <v>290</v>
      </c>
      <c r="C6" s="1">
        <v>4</v>
      </c>
      <c r="D6" s="13" t="str">
        <f t="shared" ca="1" si="1"/>
        <v/>
      </c>
      <c r="E6" s="1" t="s">
        <v>16</v>
      </c>
      <c r="F6" s="1" t="b">
        <v>0</v>
      </c>
      <c r="G6" s="3" t="str">
        <f ca="1">IF($D6="","",IFERROR($D6-Dashboard!$B$14,""))</f>
        <v/>
      </c>
      <c r="H6" t="b">
        <f ca="1">AND($F6=TRUE,$B6&gt;0,$D6&gt;=TODAY(),$D6&lt;Dashboard!$B$4)</f>
        <v>0</v>
      </c>
      <c r="I6" s="3" t="str">
        <f ca="1">IF(D6="","",D6-Dashboard!$B$14)</f>
        <v/>
      </c>
      <c r="J6" t="s">
        <v>25</v>
      </c>
      <c r="K6" s="159" t="b">
        <v>1</v>
      </c>
      <c r="L6" s="40"/>
      <c r="M6" s="26">
        <f t="shared" si="0"/>
        <v>3480</v>
      </c>
      <c r="N6" t="s">
        <v>26</v>
      </c>
      <c r="O6" t="str" cm="1">
        <f t="array" aca="1" ref="O6" ca="1">IF(AND(F6=TRUE,D6&lt;&gt;""),SUMPRODUCT((D$2:D$13&lt;D6)*(F$2:F$13=TRUE)*(D$2:D$13&lt;&gt;""))+SUMPRODUCT((D$2:D$13=D6)*(F$2:F$13=TRUE)*(D$2:D$13&lt;&gt;"")*($A$2:$A$13&lt;A6))+1,"")</f>
        <v/>
      </c>
    </row>
    <row r="7" spans="1:15" ht="12.75">
      <c r="A7" s="1" t="s">
        <v>27</v>
      </c>
      <c r="B7" s="1">
        <v>141.94999999999999</v>
      </c>
      <c r="C7" s="1">
        <v>8</v>
      </c>
      <c r="D7" s="13">
        <f t="shared" ca="1" si="1"/>
        <v>46120</v>
      </c>
      <c r="E7" s="1" t="s">
        <v>16</v>
      </c>
      <c r="F7" s="1" t="b">
        <v>1</v>
      </c>
      <c r="G7" s="3">
        <f ca="1">IF($D7="","",IFERROR($D7-Dashboard!$B$14,""))</f>
        <v>46119</v>
      </c>
      <c r="H7" t="b">
        <f ca="1">AND($F7=TRUE,$B7&gt;0,$D7&gt;=TODAY(),$D7&lt;Dashboard!$B$4)</f>
        <v>0</v>
      </c>
      <c r="I7" s="3">
        <f ca="1">IF(D7="","",D7-Dashboard!$B$14)</f>
        <v>46119</v>
      </c>
      <c r="J7" t="s">
        <v>19</v>
      </c>
      <c r="K7" s="158" t="b">
        <v>1</v>
      </c>
      <c r="L7" s="40"/>
      <c r="M7" s="26">
        <f t="shared" si="0"/>
        <v>1703.3999999999999</v>
      </c>
      <c r="O7" cm="1">
        <f t="array" aca="1" ref="O7" ca="1">IF(AND(F7=TRUE,D7&lt;&gt;""),SUMPRODUCT((D$2:D$13&lt;D7)*(F$2:F$13=TRUE)*(D$2:D$13&lt;&gt;""))+SUMPRODUCT((D$2:D$13=D7)*(F$2:F$13=TRUE)*(D$2:D$13&lt;&gt;"")*($A$2:$A$13&lt;A7))+1,"")</f>
        <v>5</v>
      </c>
    </row>
    <row r="8" spans="1:15" ht="12.75">
      <c r="A8" s="1" t="s">
        <v>28</v>
      </c>
      <c r="B8" s="1">
        <v>14</v>
      </c>
      <c r="C8" s="1">
        <v>15</v>
      </c>
      <c r="D8" s="13">
        <f t="shared" ca="1" si="1"/>
        <v>46127</v>
      </c>
      <c r="E8" s="1" t="s">
        <v>16</v>
      </c>
      <c r="F8" s="1" t="b">
        <v>1</v>
      </c>
      <c r="G8" s="3">
        <f ca="1">IF($D8="","",IFERROR($D8-Dashboard!$B$14,""))</f>
        <v>46126</v>
      </c>
      <c r="H8" t="b">
        <f ca="1">AND($F8=TRUE,$B8&gt;0,$D8&gt;=TODAY(),$D8&lt;Dashboard!$B$4)</f>
        <v>0</v>
      </c>
      <c r="I8" s="3">
        <f ca="1">IF(D8="","",D8-Dashboard!$B$14)</f>
        <v>46126</v>
      </c>
      <c r="J8" t="s">
        <v>17</v>
      </c>
      <c r="K8" s="158" t="b">
        <v>1</v>
      </c>
      <c r="L8" s="40"/>
      <c r="M8" s="26">
        <f t="shared" si="0"/>
        <v>168</v>
      </c>
      <c r="N8" t="s">
        <v>21</v>
      </c>
      <c r="O8" cm="1">
        <f t="array" aca="1" ref="O8" ca="1">IF(AND(F8=TRUE,D8&lt;&gt;""),SUMPRODUCT((D$2:D$13&lt;D8)*(F$2:F$13=TRUE)*(D$2:D$13&lt;&gt;""))+SUMPRODUCT((D$2:D$13=D8)*(F$2:F$13=TRUE)*(D$2:D$13&lt;&gt;"")*($A$2:$A$13&lt;A8))+1,"")</f>
        <v>6</v>
      </c>
    </row>
    <row r="9" spans="1:15" ht="12.75">
      <c r="A9" s="1" t="s">
        <v>29</v>
      </c>
      <c r="B9" s="1">
        <v>175</v>
      </c>
      <c r="C9" s="1">
        <v>16</v>
      </c>
      <c r="D9" s="13">
        <f t="shared" ca="1" si="1"/>
        <v>46128</v>
      </c>
      <c r="E9" s="1" t="s">
        <v>16</v>
      </c>
      <c r="F9" s="1" t="b">
        <v>1</v>
      </c>
      <c r="G9" s="3">
        <f ca="1">IF($D9="","",IFERROR($D9-Dashboard!$B$14,""))</f>
        <v>46127</v>
      </c>
      <c r="H9" t="b">
        <f ca="1">AND($F9=TRUE,$B9&gt;0,$D9&gt;=TODAY(),$D9&lt;Dashboard!$B$4)</f>
        <v>0</v>
      </c>
      <c r="I9" s="3">
        <f ca="1">IF(D9="","",D9-Dashboard!$B$14)</f>
        <v>46127</v>
      </c>
      <c r="J9" t="s">
        <v>19</v>
      </c>
      <c r="K9" s="161" t="b">
        <v>0</v>
      </c>
      <c r="L9" s="40"/>
      <c r="M9" s="26">
        <f t="shared" si="0"/>
        <v>2100</v>
      </c>
      <c r="N9" t="s">
        <v>30</v>
      </c>
      <c r="O9" cm="1">
        <f t="array" aca="1" ref="O9" ca="1">IF(AND(F9=TRUE,D9&lt;&gt;""),SUMPRODUCT((D$2:D$13&lt;D9)*(F$2:F$13=TRUE)*(D$2:D$13&lt;&gt;""))+SUMPRODUCT((D$2:D$13=D9)*(F$2:F$13=TRUE)*(D$2:D$13&lt;&gt;"")*($A$2:$A$13&lt;A9))+1,"")</f>
        <v>7</v>
      </c>
    </row>
    <row r="10" spans="1:15" ht="12.75">
      <c r="A10" s="1" t="s">
        <v>31</v>
      </c>
      <c r="B10" s="1">
        <v>70</v>
      </c>
      <c r="C10" s="1">
        <v>19</v>
      </c>
      <c r="D10" s="13">
        <f t="shared" ca="1" si="1"/>
        <v>46131</v>
      </c>
      <c r="E10" s="1" t="s">
        <v>16</v>
      </c>
      <c r="F10" s="1" t="b">
        <v>1</v>
      </c>
      <c r="G10" s="3">
        <f ca="1">IF($D10="","",IFERROR($D10-Dashboard!$B$14,""))</f>
        <v>46130</v>
      </c>
      <c r="H10" t="b">
        <f ca="1">AND($F10=TRUE,$B10&gt;0,$D10&gt;=TODAY(),$D10&lt;Dashboard!$B$4)</f>
        <v>0</v>
      </c>
      <c r="I10" s="3">
        <f ca="1">IF(D10="","",D10-Dashboard!$B$14)</f>
        <v>46130</v>
      </c>
      <c r="J10" t="s">
        <v>19</v>
      </c>
      <c r="K10" s="161" t="b">
        <v>0</v>
      </c>
      <c r="L10" s="40"/>
      <c r="M10" s="26">
        <f t="shared" si="0"/>
        <v>840</v>
      </c>
      <c r="N10" t="s">
        <v>30</v>
      </c>
      <c r="O10" cm="1">
        <f t="array" aca="1" ref="O10" ca="1">IF(AND(F10=TRUE,D10&lt;&gt;""),SUMPRODUCT((D$2:D$13&lt;D10)*(F$2:F$13=TRUE)*(D$2:D$13&lt;&gt;""))+SUMPRODUCT((D$2:D$13=D10)*(F$2:F$13=TRUE)*(D$2:D$13&lt;&gt;"")*($A$2:$A$13&lt;A10))+1,"")</f>
        <v>8</v>
      </c>
    </row>
    <row r="11" spans="1:15" ht="12.75">
      <c r="A11" s="1" t="s">
        <v>32</v>
      </c>
      <c r="B11" s="1">
        <v>10</v>
      </c>
      <c r="C11" s="1">
        <v>22</v>
      </c>
      <c r="D11" s="13">
        <f t="shared" ca="1" si="1"/>
        <v>46134</v>
      </c>
      <c r="E11" s="1" t="s">
        <v>16</v>
      </c>
      <c r="F11" s="1" t="b">
        <v>1</v>
      </c>
      <c r="G11" s="3">
        <f ca="1">IF($D11="","",IFERROR($D11-Dashboard!$B$14,""))</f>
        <v>46133</v>
      </c>
      <c r="H11" t="b">
        <f ca="1">AND($F11=TRUE,$B11&gt;0,$D11&gt;=TODAY(),$D11&lt;Dashboard!$B$4)</f>
        <v>0</v>
      </c>
      <c r="I11" s="3">
        <f ca="1">IF(D11="","",D11-Dashboard!$B$14)</f>
        <v>46133</v>
      </c>
      <c r="J11" t="s">
        <v>19</v>
      </c>
      <c r="K11" s="158" t="b">
        <v>1</v>
      </c>
      <c r="L11" s="40"/>
      <c r="M11" s="26">
        <f t="shared" si="0"/>
        <v>120</v>
      </c>
      <c r="O11" cm="1">
        <f t="array" aca="1" ref="O11" ca="1">IF(AND(F11=TRUE,D11&lt;&gt;""),SUMPRODUCT((D$2:D$13&lt;D11)*(F$2:F$13=TRUE)*(D$2:D$13&lt;&gt;""))+SUMPRODUCT((D$2:D$13=D11)*(F$2:F$13=TRUE)*(D$2:D$13&lt;&gt;"")*($A$2:$A$13&lt;A11))+1,"")</f>
        <v>9</v>
      </c>
    </row>
    <row r="12" spans="1:15" ht="12.75">
      <c r="A12" s="5" t="s">
        <v>33</v>
      </c>
      <c r="B12" s="1">
        <v>5.98</v>
      </c>
      <c r="C12" s="1"/>
      <c r="D12" s="13"/>
      <c r="E12" s="5" t="s">
        <v>16</v>
      </c>
      <c r="F12" s="1" t="b">
        <v>0</v>
      </c>
      <c r="H12" t="b">
        <f ca="1">AND($F12=TRUE,$B12&gt;0,$D12&gt;=TODAY(),$D12&lt;Dashboard!$B$4)</f>
        <v>0</v>
      </c>
      <c r="I12" s="3" t="str">
        <f>IF(D12="","",D12-Dashboard!$B$14)</f>
        <v/>
      </c>
      <c r="J12" t="s">
        <v>25</v>
      </c>
      <c r="K12" s="159" t="b">
        <v>0</v>
      </c>
      <c r="L12" s="40"/>
      <c r="M12" s="26">
        <f t="shared" si="0"/>
        <v>71.760000000000005</v>
      </c>
      <c r="N12" t="s">
        <v>34</v>
      </c>
      <c r="O12" t="str" cm="1">
        <f t="array" ref="O12">IF(AND(F12=TRUE,D12&lt;&gt;""),SUMPRODUCT((D$2:D$13&lt;D12)*(F$2:F$13=TRUE)*(D$2:D$13&lt;&gt;""))+SUMPRODUCT((D$2:D$13=D12)*(F$2:F$13=TRUE)*(D$2:D$13&lt;&gt;"")*($A$2:$A$13&lt;A12))+1,"")</f>
        <v/>
      </c>
    </row>
    <row r="13" spans="1:15" ht="13.5" thickBot="1">
      <c r="A13" s="176" t="s">
        <v>35</v>
      </c>
      <c r="B13" s="176">
        <v>600</v>
      </c>
      <c r="C13" s="177"/>
      <c r="D13" s="178" t="str">
        <f t="shared" ca="1" si="1"/>
        <v/>
      </c>
      <c r="E13" s="176" t="s">
        <v>36</v>
      </c>
      <c r="F13" s="176" t="b">
        <v>0</v>
      </c>
      <c r="G13" s="179" t="str">
        <f ca="1">IF($D13="","",IFERROR($D13-Dashboard!$B$14,""))</f>
        <v/>
      </c>
      <c r="H13" s="180" t="b">
        <f ca="1">AND($F13=TRUE,$B13&gt;0,$D13&gt;=TODAY(),$D13&lt;Dashboard!$B$4)</f>
        <v>0</v>
      </c>
      <c r="I13" s="179" t="str">
        <f ca="1">IF(D13="","",D13-Dashboard!$B$14)</f>
        <v/>
      </c>
      <c r="J13" s="180" t="s">
        <v>36</v>
      </c>
      <c r="K13" s="181" t="b">
        <v>0</v>
      </c>
      <c r="L13" s="182"/>
      <c r="M13" s="183">
        <f t="shared" si="0"/>
        <v>7200</v>
      </c>
      <c r="N13" s="180" t="s">
        <v>37</v>
      </c>
      <c r="O13" t="str" cm="1">
        <f t="array" aca="1" ref="O13" ca="1">IF(AND(F13=TRUE,D13&lt;&gt;""),SUMPRODUCT((D$2:D$13&lt;D13)*(F$2:F$13=TRUE)*(D$2:D$13&lt;&gt;""))+SUMPRODUCT((D$2:D$13=D13)*(F$2:F$13=TRUE)*(D$2:D$13&lt;&gt;"")*($A$2:$A$13&lt;A13))+1,"")</f>
        <v/>
      </c>
    </row>
    <row r="14" spans="1:15" ht="12.75">
      <c r="A14" s="184"/>
      <c r="B14" s="184"/>
      <c r="C14" s="184"/>
      <c r="D14" s="185" t="str">
        <f t="shared" ca="1" si="1"/>
        <v/>
      </c>
      <c r="E14" s="184"/>
      <c r="F14" s="184"/>
      <c r="G14" s="186"/>
      <c r="H14" s="184"/>
      <c r="I14" s="184"/>
      <c r="J14" s="184"/>
      <c r="K14" s="184"/>
      <c r="L14" s="184"/>
      <c r="M14" s="184"/>
      <c r="N14" s="184"/>
    </row>
    <row r="15" spans="1:15" ht="13.5">
      <c r="A15" s="196" t="s">
        <v>38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</row>
    <row r="16" spans="1:15" ht="12.75">
      <c r="A16" s="160" t="s">
        <v>39</v>
      </c>
      <c r="B16" s="34">
        <f>SUMIFS(B2:B13,F2:F13,TRUE)</f>
        <v>1523.95</v>
      </c>
      <c r="D16" s="1" t="str">
        <f t="shared" ca="1" si="1"/>
        <v/>
      </c>
    </row>
    <row r="17" spans="1:14" ht="12.75">
      <c r="A17" s="160" t="s">
        <v>40</v>
      </c>
      <c r="B17" s="163">
        <f>SUM(B2:B13)</f>
        <v>2419.9300000000003</v>
      </c>
      <c r="D17" s="1" t="str">
        <f t="shared" ca="1" si="1"/>
        <v/>
      </c>
    </row>
    <row r="18" spans="1:14" ht="12.75">
      <c r="A18" s="160" t="s">
        <v>41</v>
      </c>
      <c r="B18" s="163">
        <f>SUMIFS(M2:M13,F2:F13,TRUE)</f>
        <v>18287.400000000001</v>
      </c>
      <c r="D18" s="1" t="str">
        <f t="shared" ca="1" si="1"/>
        <v/>
      </c>
    </row>
    <row r="19" spans="1:14" ht="12.75">
      <c r="A19" s="160" t="s">
        <v>42</v>
      </c>
      <c r="B19" s="35">
        <f>IFERROR(B16/Assumptions!B10,0)</f>
        <v>0.47327639751552797</v>
      </c>
      <c r="D19" s="1" t="str">
        <f t="shared" ca="1" si="1"/>
        <v/>
      </c>
    </row>
    <row r="20" spans="1:14" ht="12.75">
      <c r="A20" s="160" t="s">
        <v>43</v>
      </c>
      <c r="B20" s="164">
        <f>COUNTIF(F2:F13,TRUE)</f>
        <v>9</v>
      </c>
      <c r="D20" s="1" t="str">
        <f t="shared" ca="1" si="1"/>
        <v/>
      </c>
    </row>
    <row r="21" spans="1:14" ht="12.75">
      <c r="A21" s="160" t="s">
        <v>44</v>
      </c>
      <c r="B21" s="164">
        <f>COUNTIF(F2:F13,FALSE)</f>
        <v>3</v>
      </c>
      <c r="D21" s="1" t="str">
        <f t="shared" ca="1" si="1"/>
        <v/>
      </c>
    </row>
    <row r="22" spans="1:14" ht="12.75">
      <c r="A22" s="187"/>
      <c r="B22" s="187"/>
      <c r="C22" s="187"/>
      <c r="D22" s="188" t="str">
        <f t="shared" ca="1" si="1"/>
        <v/>
      </c>
      <c r="E22" s="187"/>
      <c r="F22" s="187"/>
      <c r="G22" s="189"/>
      <c r="H22" s="187"/>
      <c r="I22" s="187"/>
      <c r="J22" s="187"/>
      <c r="K22" s="187"/>
      <c r="L22" s="187"/>
      <c r="M22" s="187"/>
      <c r="N22" s="187"/>
    </row>
    <row r="23" spans="1:14" ht="13.5">
      <c r="A23" s="196" t="s">
        <v>45</v>
      </c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</row>
    <row r="24" spans="1:14" ht="12.75">
      <c r="A24" s="38" t="s">
        <v>9</v>
      </c>
      <c r="B24" s="38" t="s">
        <v>46</v>
      </c>
      <c r="C24" s="38" t="s">
        <v>47</v>
      </c>
      <c r="D24" s="166" t="s">
        <v>48</v>
      </c>
      <c r="E24" s="38" t="s">
        <v>49</v>
      </c>
    </row>
    <row r="25" spans="1:14" ht="12.75">
      <c r="A25" s="160" t="s">
        <v>19</v>
      </c>
      <c r="B25" s="26">
        <f>SUMIFS(B2:B13,J2:J13,"Essential",F2:F13,TRUE)</f>
        <v>1461.95</v>
      </c>
      <c r="C25" s="162">
        <f>IFERROR(B25/$B$16,0)</f>
        <v>0.95931625053315395</v>
      </c>
      <c r="D25" s="167">
        <f>B25*12</f>
        <v>17543.400000000001</v>
      </c>
      <c r="E25">
        <f>COUNTIFS(J2:J13,"Essential",F2:F13,TRUE)</f>
        <v>6</v>
      </c>
    </row>
    <row r="26" spans="1:14" ht="12.75">
      <c r="A26" s="160" t="s">
        <v>17</v>
      </c>
      <c r="B26" s="26">
        <f>SUMIFS(B2:B13,J2:J13,"Discretionary",F2:F13,TRUE)</f>
        <v>62</v>
      </c>
      <c r="C26" s="162">
        <f>IFERROR(B26/$B$16,0)</f>
        <v>4.0683749466846025E-2</v>
      </c>
      <c r="D26" s="167">
        <f>B26*12</f>
        <v>744</v>
      </c>
      <c r="E26">
        <f>COUNTIFS(J2:J13,"Discretionary",F2:F13,TRUE)</f>
        <v>3</v>
      </c>
    </row>
    <row r="27" spans="1:14" ht="12.75">
      <c r="A27" s="160" t="s">
        <v>25</v>
      </c>
      <c r="B27" s="26">
        <f>SUMIFS(B2:B13,J2:J13,"Debt",F2:F13,TRUE)</f>
        <v>0</v>
      </c>
      <c r="C27" s="162">
        <f>IFERROR(B27/$B$16,0)</f>
        <v>0</v>
      </c>
      <c r="D27" s="167">
        <f>B27*12</f>
        <v>0</v>
      </c>
      <c r="E27">
        <f>COUNTIFS(J2:J13,"Debt",F2:F13,TRUE)</f>
        <v>0</v>
      </c>
    </row>
    <row r="28" spans="1:14" ht="12.75">
      <c r="A28" s="160" t="s">
        <v>36</v>
      </c>
      <c r="B28" s="26">
        <f>SUMIFS(B2:B13,J2:J13,"Variable",F2:F13,TRUE)</f>
        <v>0</v>
      </c>
      <c r="C28" s="162">
        <f>IFERROR(B28/$B$16,0)</f>
        <v>0</v>
      </c>
      <c r="D28" s="167">
        <f>B28*12</f>
        <v>0</v>
      </c>
      <c r="E28">
        <f>COUNTIFS(J2:J13,"Variable",F2:F13,TRUE)</f>
        <v>0</v>
      </c>
    </row>
    <row r="29" spans="1:14" ht="12.75">
      <c r="A29" s="17" t="s">
        <v>50</v>
      </c>
      <c r="B29" s="168">
        <f>SUM(B25:B28)</f>
        <v>1523.95</v>
      </c>
      <c r="D29" s="1" t="str">
        <f t="shared" ca="1" si="1"/>
        <v/>
      </c>
    </row>
    <row r="30" spans="1:14" ht="12.75">
      <c r="A30" s="187"/>
      <c r="B30" s="187"/>
      <c r="C30" s="187"/>
      <c r="D30" s="188" t="str">
        <f t="shared" ca="1" si="1"/>
        <v/>
      </c>
      <c r="E30" s="187"/>
      <c r="F30" s="187"/>
      <c r="G30" s="189"/>
      <c r="H30" s="187"/>
      <c r="I30" s="187"/>
      <c r="J30" s="187"/>
      <c r="K30" s="187"/>
      <c r="L30" s="187"/>
      <c r="M30" s="187"/>
      <c r="N30" s="187"/>
    </row>
    <row r="31" spans="1:14" ht="13.5">
      <c r="A31" s="196" t="s">
        <v>51</v>
      </c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</row>
    <row r="32" spans="1:14" ht="12.75">
      <c r="A32" s="160" t="s">
        <v>52</v>
      </c>
      <c r="B32" s="164">
        <f>COUNTIFS(K2:K13,TRUE,F2:F13,TRUE)</f>
        <v>7</v>
      </c>
      <c r="D32" s="1" t="str">
        <f t="shared" ca="1" si="1"/>
        <v/>
      </c>
    </row>
    <row r="33" spans="1:14" ht="12.75">
      <c r="A33" s="160" t="s">
        <v>53</v>
      </c>
      <c r="B33" s="163">
        <f>SUMIFS(B2:B13,K2:K13,TRUE,F2:F13,TRUE)</f>
        <v>1278.95</v>
      </c>
      <c r="D33" s="1" t="str">
        <f t="shared" ca="1" si="1"/>
        <v/>
      </c>
    </row>
    <row r="34" spans="1:14" ht="12.75">
      <c r="A34" s="160" t="s">
        <v>54</v>
      </c>
      <c r="B34" s="164">
        <f>COUNTIFS(K2:K13,FALSE,F2:F13,TRUE)</f>
        <v>2</v>
      </c>
      <c r="D34" s="1" t="str">
        <f t="shared" ca="1" si="1"/>
        <v/>
      </c>
    </row>
    <row r="35" spans="1:14" ht="12.75">
      <c r="A35" s="160" t="s">
        <v>55</v>
      </c>
      <c r="B35" s="163">
        <f>SUMIFS(B2:B13,K2:K13,FALSE,F2:F13,TRUE)</f>
        <v>245</v>
      </c>
      <c r="D35" s="1" t="str">
        <f t="shared" ca="1" si="1"/>
        <v/>
      </c>
    </row>
    <row r="36" spans="1:14" ht="12.75">
      <c r="A36" s="160" t="s">
        <v>56</v>
      </c>
      <c r="B36" s="169" cm="1">
        <f t="array" aca="1" ref="B36" ca="1">IFERROR(MIN(IF((K2:K13=FALSE)*(F2:F13=TRUE)*(D2:D13&lt;&gt;""),D2:D13)),"")</f>
        <v>46128</v>
      </c>
      <c r="D36" s="1" t="str">
        <f t="shared" ca="1" si="1"/>
        <v/>
      </c>
    </row>
    <row r="37" spans="1:14" ht="12.75">
      <c r="A37" s="160" t="s">
        <v>57</v>
      </c>
      <c r="B37" s="29" t="str">
        <f ca="1">IF(B34&gt;0,IF(B36&lt;&gt;"",IF(B36-TODAY()&lt;=3,"🔴 MANUAL BILL DUE WITHIN 3 DAYS",IF(B36-TODAY()&lt;=7,"🟡 Manual bill due within 7 days","🟢 No urgent manual bills")),"🟢 No upcoming manual bills"),"🟢 All bills on autopay")</f>
        <v>🟢 No urgent manual bills</v>
      </c>
      <c r="D37" s="1" t="str">
        <f t="shared" ca="1" si="1"/>
        <v/>
      </c>
    </row>
    <row r="38" spans="1:14" ht="12.75">
      <c r="A38" s="187"/>
      <c r="B38" s="187"/>
      <c r="C38" s="187"/>
      <c r="D38" s="188" t="str">
        <f t="shared" ca="1" si="1"/>
        <v/>
      </c>
      <c r="E38" s="187"/>
      <c r="F38" s="187"/>
      <c r="G38" s="189"/>
      <c r="H38" s="187"/>
      <c r="I38" s="187"/>
      <c r="J38" s="187"/>
      <c r="K38" s="187"/>
      <c r="L38" s="187"/>
      <c r="M38" s="187"/>
      <c r="N38" s="187"/>
    </row>
    <row r="39" spans="1:14" ht="13.5">
      <c r="A39" s="196" t="s">
        <v>58</v>
      </c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</row>
    <row r="40" spans="1:14" ht="12.75">
      <c r="A40" s="38" t="s">
        <v>59</v>
      </c>
      <c r="B40" s="38" t="s">
        <v>0</v>
      </c>
      <c r="C40" s="38" t="s">
        <v>1</v>
      </c>
      <c r="D40" s="166" t="s">
        <v>60</v>
      </c>
      <c r="E40" s="38" t="s">
        <v>61</v>
      </c>
    </row>
    <row r="41" spans="1:14" ht="12.75">
      <c r="A41" s="160">
        <v>1</v>
      </c>
      <c r="B41" s="160" t="str">
        <f ca="1">IFERROR(INDEX(A$2:A$13,MATCH(1,O$2:O$13,0)),"")</f>
        <v>Gym Membership</v>
      </c>
      <c r="C41" s="163">
        <f ca="1">IF(B41="","",INDEX(B$2:B$13,MATCH(B41,A$2:A$13,0)))</f>
        <v>27</v>
      </c>
      <c r="D41" s="10">
        <f ca="1">IF(B41="","",INDEX(D$2:D$13,MATCH(B41,A$2:A$13,0)))</f>
        <v>46114</v>
      </c>
      <c r="E41" s="170">
        <f ca="1">IF(D41="","",D41-TODAY())</f>
        <v>10</v>
      </c>
    </row>
    <row r="42" spans="1:14" ht="12.75">
      <c r="A42" s="160">
        <v>2</v>
      </c>
      <c r="B42" s="160" t="str">
        <f ca="1">IFERROR(INDEX(A$2:A$13,MATCH(2,O$2:O$13,0)),"")</f>
        <v>Phone Bill (Verizon)</v>
      </c>
      <c r="C42" s="163">
        <f ca="1">IF(B42="","",INDEX(B$2:B$13,MATCH(B42,A$2:A$13,0)))</f>
        <v>65</v>
      </c>
      <c r="D42" s="10">
        <f ca="1">IF(B42="","",INDEX(D$2:D$13,MATCH(B42,A$2:A$13,0)))</f>
        <v>46114</v>
      </c>
      <c r="E42" s="170">
        <f ca="1">IF(D42="","",D42-TODAY())</f>
        <v>10</v>
      </c>
    </row>
    <row r="43" spans="1:14" ht="12.75">
      <c r="A43" s="160">
        <v>3</v>
      </c>
      <c r="B43" s="160" t="str">
        <f ca="1">IFERROR(INDEX(A$2:A$13,MATCH(3,O$2:O$13,0)),"")</f>
        <v>Claude Subscription</v>
      </c>
      <c r="C43" s="163">
        <f ca="1">IF(B43="","",INDEX(B$2:B$13,MATCH(B43,A$2:A$13,0)))</f>
        <v>21</v>
      </c>
      <c r="D43" s="10">
        <f ca="1">IF(B43="","",INDEX(D$2:D$13,MATCH(B43,A$2:A$13,0)))</f>
        <v>46115</v>
      </c>
      <c r="E43" s="170">
        <f ca="1">IF(D43="","",D43-TODAY())</f>
        <v>11</v>
      </c>
    </row>
    <row r="44" spans="1:14" ht="12.75">
      <c r="A44" s="160">
        <v>4</v>
      </c>
      <c r="B44" s="160" t="str">
        <f ca="1">IFERROR(INDEX(A$2:A$13,MATCH(4,O$2:O$13,0)),"")</f>
        <v>Rent</v>
      </c>
      <c r="C44" s="163">
        <f ca="1">IF(B44="","",INDEX(B$2:B$13,MATCH(B44,A$2:A$13,0)))</f>
        <v>1000</v>
      </c>
      <c r="D44" s="10">
        <f ca="1">IF(B44="","",INDEX(D$2:D$13,MATCH(B44,A$2:A$13,0)))</f>
        <v>46116</v>
      </c>
      <c r="E44" s="170">
        <f ca="1">IF(D44="","",D44-TODAY())</f>
        <v>12</v>
      </c>
    </row>
    <row r="45" spans="1:14" ht="12.75">
      <c r="A45" s="160">
        <v>5</v>
      </c>
      <c r="B45" s="160" t="str">
        <f ca="1">IFERROR(INDEX(A$2:A$13,MATCH(5,O$2:O$13,0)),"")</f>
        <v>Car Insurance</v>
      </c>
      <c r="C45" s="163">
        <f ca="1">IF(B45="","",INDEX(B$2:B$13,MATCH(B45,A$2:A$13,0)))</f>
        <v>141.94999999999999</v>
      </c>
      <c r="D45" s="10">
        <f ca="1">IF(B45="","",INDEX(D$2:D$13,MATCH(B45,A$2:A$13,0)))</f>
        <v>46120</v>
      </c>
      <c r="E45" s="170">
        <f ca="1">IF(D45="","",D45-TODAY())</f>
        <v>16</v>
      </c>
    </row>
    <row r="46" spans="1:14" ht="12.75">
      <c r="A46" s="29" t="s">
        <v>62</v>
      </c>
      <c r="B46" s="34">
        <f ca="1">SUMIFS(B2:B13,F2:F13,TRUE,H2:H13,TRUE)</f>
        <v>1113</v>
      </c>
      <c r="C46" t="s">
        <v>63</v>
      </c>
      <c r="D46" s="1">
        <f ca="1">COUNTIFS(F2:F13,TRUE,H2:H13,TRUE)</f>
        <v>4</v>
      </c>
      <c r="E46" t="s">
        <v>64</v>
      </c>
    </row>
    <row r="47" spans="1:14" ht="12.75">
      <c r="A47" s="187"/>
      <c r="B47" s="187"/>
      <c r="C47" s="187"/>
      <c r="D47" s="188" t="str">
        <f t="shared" ca="1" si="1"/>
        <v/>
      </c>
      <c r="E47" s="187"/>
      <c r="F47" s="187"/>
      <c r="G47" s="189"/>
      <c r="H47" s="187"/>
      <c r="I47" s="187"/>
      <c r="J47" s="187"/>
      <c r="K47" s="187"/>
      <c r="L47" s="187"/>
      <c r="M47" s="187"/>
      <c r="N47" s="187"/>
    </row>
    <row r="48" spans="1:14" ht="13.5">
      <c r="A48" s="196" t="s">
        <v>65</v>
      </c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</row>
    <row r="49" spans="1:7" ht="12.75">
      <c r="A49" s="160" t="s">
        <v>66</v>
      </c>
      <c r="B49" s="25">
        <f>Assumptions!B10</f>
        <v>3220</v>
      </c>
      <c r="D49" s="1" t="str">
        <f t="shared" ca="1" si="1"/>
        <v/>
      </c>
    </row>
    <row r="50" spans="1:7" ht="12.75">
      <c r="A50" s="160" t="s">
        <v>67</v>
      </c>
      <c r="B50" s="25">
        <f>B16</f>
        <v>1523.95</v>
      </c>
      <c r="D50" s="1" t="str">
        <f t="shared" ca="1" si="1"/>
        <v/>
      </c>
    </row>
    <row r="51" spans="1:7" ht="12.75">
      <c r="A51" s="160" t="s">
        <v>68</v>
      </c>
      <c r="B51" s="25">
        <f>Assumptions!B9</f>
        <v>600</v>
      </c>
      <c r="D51" s="1" t="str">
        <f t="shared" ca="1" si="1"/>
        <v/>
      </c>
    </row>
    <row r="52" spans="1:7" ht="12.75">
      <c r="A52" s="160" t="s">
        <v>69</v>
      </c>
      <c r="B52" s="25">
        <f>Dashboard!B33</f>
        <v>1251.1578947368421</v>
      </c>
      <c r="D52" s="1" t="str">
        <f t="shared" ca="1" si="1"/>
        <v/>
      </c>
    </row>
    <row r="53" spans="1:7" ht="12.75">
      <c r="A53" s="160" t="s">
        <v>70</v>
      </c>
      <c r="B53" s="34">
        <f>B49-B50-B51-B52</f>
        <v>-155.10789473684213</v>
      </c>
      <c r="D53" s="1" t="str">
        <f t="shared" ca="1" si="1"/>
        <v/>
      </c>
    </row>
    <row r="54" spans="1:7" ht="12.75">
      <c r="A54" s="160" t="s">
        <v>71</v>
      </c>
      <c r="B54" s="35">
        <f>IFERROR(B53/B49,0)</f>
        <v>-4.8170153644982026E-2</v>
      </c>
      <c r="D54" s="1" t="str">
        <f t="shared" ca="1" si="1"/>
        <v/>
      </c>
    </row>
    <row r="55" spans="1:7" ht="12.75">
      <c r="A55" s="160"/>
      <c r="D55" s="1" t="str">
        <f t="shared" ca="1" si="1"/>
        <v/>
      </c>
    </row>
    <row r="56" spans="1:7" ht="12.75">
      <c r="A56" s="160" t="s">
        <v>72</v>
      </c>
      <c r="B56" s="162">
        <f>IFERROR(B25/B49,0)</f>
        <v>0.45402173913043481</v>
      </c>
      <c r="D56" s="1" t="str">
        <f t="shared" ca="1" si="1"/>
        <v/>
      </c>
    </row>
    <row r="57" spans="1:7" ht="12.75">
      <c r="A57" s="160" t="s">
        <v>73</v>
      </c>
      <c r="B57" s="162">
        <f>IFERROR(B26/B49,0)</f>
        <v>1.9254658385093167E-2</v>
      </c>
      <c r="D57" s="1" t="str">
        <f t="shared" ca="1" si="1"/>
        <v/>
      </c>
    </row>
    <row r="58" spans="1:7" ht="12.75">
      <c r="A58" s="160" t="s">
        <v>74</v>
      </c>
      <c r="B58" s="162">
        <f>IFERROR(B16/(B16+Assumptions!B9),0)</f>
        <v>0.71750747428140971</v>
      </c>
      <c r="D58" s="1" t="str">
        <f t="shared" ca="1" si="1"/>
        <v/>
      </c>
    </row>
    <row r="59" spans="1:7" ht="12.75">
      <c r="A59" s="40"/>
      <c r="B59" s="20"/>
      <c r="C59" s="41"/>
      <c r="E59" s="160" t="str">
        <f>IF(OR(D59="",C59=""),"",IF(D59&lt;=IFERROR(VLOOKUP(B59,A2:D13,4,FALSE),""),"✅ On Time","❌ Late"))</f>
        <v/>
      </c>
      <c r="F59" s="20"/>
      <c r="G59" s="44"/>
    </row>
    <row r="60" spans="1:7" ht="12.75">
      <c r="A60" s="40"/>
      <c r="B60" s="20"/>
      <c r="C60" s="41"/>
      <c r="E60" s="160" t="str">
        <f>IF(OR(D60="",C60=""),"",IF(D60&lt;=IFERROR(VLOOKUP(B60,A2:D13,4,FALSE),""),"✅ On Time","❌ Late"))</f>
        <v/>
      </c>
      <c r="F60" s="20"/>
      <c r="G60" s="44"/>
    </row>
    <row r="61" spans="1:7" ht="12.75">
      <c r="A61" s="40"/>
      <c r="B61" s="20"/>
      <c r="C61" s="41"/>
      <c r="E61" s="160" t="str">
        <f>IF(OR(D61="",C61=""),"",IF(D61&lt;=IFERROR(VLOOKUP(B61,A2:D13,4,FALSE),""),"✅ On Time","❌ Late"))</f>
        <v/>
      </c>
      <c r="F61" s="20"/>
      <c r="G61" s="44"/>
    </row>
    <row r="62" spans="1:7" ht="12.75">
      <c r="A62" s="40"/>
      <c r="B62" s="20"/>
      <c r="C62" s="41"/>
      <c r="E62" s="160" t="str">
        <f>IF(OR(D62="",C62=""),"",IF(D62&lt;=IFERROR(VLOOKUP(B62,A2:D13,4,FALSE),""),"✅ On Time","❌ Late"))</f>
        <v/>
      </c>
      <c r="F62" s="20"/>
      <c r="G62" s="44"/>
    </row>
    <row r="63" spans="1:7" ht="12.75">
      <c r="A63" s="40"/>
      <c r="B63" s="20"/>
      <c r="C63" s="41"/>
      <c r="E63" s="160" t="str">
        <f>IF(OR(D63="",C63=""),"",IF(D63&lt;=IFERROR(VLOOKUP(B63,A2:D13,4,FALSE),""),"✅ On Time","❌ Late"))</f>
        <v/>
      </c>
      <c r="F63" s="20"/>
      <c r="G63" s="44"/>
    </row>
    <row r="64" spans="1:7" ht="12.75">
      <c r="A64" s="40"/>
      <c r="B64" s="20"/>
      <c r="C64" s="41"/>
      <c r="E64" s="160" t="str">
        <f>IF(OR(D64="",C64=""),"",IF(D64&lt;=IFERROR(VLOOKUP(B64,A2:D13,4,FALSE),""),"✅ On Time","❌ Late"))</f>
        <v/>
      </c>
      <c r="F64" s="20"/>
      <c r="G64" s="44"/>
    </row>
    <row r="65" spans="1:14" ht="12.75">
      <c r="A65" s="40"/>
      <c r="B65" s="20"/>
      <c r="C65" s="41"/>
      <c r="E65" s="160" t="str">
        <f>IF(OR(D65="",C65=""),"",IF(D65&lt;=IFERROR(VLOOKUP(B65,A2:D13,4,FALSE),""),"✅ On Time","❌ Late"))</f>
        <v/>
      </c>
      <c r="F65" s="20"/>
      <c r="G65" s="44"/>
    </row>
    <row r="66" spans="1:14" ht="12.75">
      <c r="A66" s="40"/>
      <c r="B66" s="20"/>
      <c r="C66" s="41"/>
      <c r="E66" s="160" t="str">
        <f>IF(OR(D66="",C66=""),"",IF(D66&lt;=IFERROR(VLOOKUP(B66,A2:D13,4,FALSE),""),"✅ On Time","❌ Late"))</f>
        <v/>
      </c>
      <c r="F66" s="20"/>
      <c r="G66" s="44"/>
    </row>
    <row r="67" spans="1:14" ht="12.75">
      <c r="A67" s="40"/>
      <c r="B67" s="20"/>
      <c r="C67" s="41"/>
      <c r="E67" s="160" t="str">
        <f>IF(OR(D67="",C67=""),"",IF(D67&lt;=IFERROR(VLOOKUP(B67,A2:D13,4,FALSE),""),"✅ On Time","❌ Late"))</f>
        <v/>
      </c>
      <c r="F67" s="20"/>
      <c r="G67" s="44"/>
    </row>
    <row r="68" spans="1:14" ht="12.75">
      <c r="A68" s="40"/>
      <c r="B68" s="20"/>
      <c r="C68" s="41"/>
      <c r="E68" s="160" t="str">
        <f>IF(OR(D68="",C68=""),"",IF(D68&lt;=IFERROR(VLOOKUP(B68,A2:D13,4,FALSE),""),"✅ On Time","❌ Late"))</f>
        <v/>
      </c>
      <c r="F68" s="20"/>
      <c r="G68" s="44"/>
    </row>
    <row r="69" spans="1:14" ht="12.75">
      <c r="A69" s="40"/>
      <c r="B69" s="20"/>
      <c r="C69" s="41"/>
      <c r="E69" s="160" t="str">
        <f>IF(OR(D69="",C69=""),"",IF(D69&lt;=IFERROR(VLOOKUP(B69,A2:D13,4,FALSE),""),"✅ On Time","❌ Late"))</f>
        <v/>
      </c>
      <c r="F69" s="20"/>
      <c r="G69" s="44"/>
    </row>
    <row r="70" spans="1:14" ht="12.75">
      <c r="A70" s="40"/>
      <c r="B70" s="20"/>
      <c r="C70" s="41"/>
      <c r="E70" s="160" t="str">
        <f>IF(OR(D70="",C70=""),"",IF(D70&lt;=IFERROR(VLOOKUP(B70,A2:D13,4,FALSE),""),"✅ On Time","❌ Late"))</f>
        <v/>
      </c>
      <c r="F70" s="20"/>
      <c r="G70" s="44"/>
    </row>
    <row r="71" spans="1:14" ht="12.75">
      <c r="A71" s="40"/>
      <c r="B71" s="20"/>
      <c r="C71" s="41"/>
      <c r="E71" s="160" t="str">
        <f>IF(OR(D71="",C71=""),"",IF(D71&lt;=IFERROR(VLOOKUP(B71,A2:D13,4,FALSE),""),"✅ On Time","❌ Late"))</f>
        <v/>
      </c>
      <c r="F71" s="20"/>
      <c r="G71" s="44"/>
    </row>
    <row r="72" spans="1:14" ht="12.75">
      <c r="A72" s="40"/>
      <c r="B72" s="20"/>
      <c r="C72" s="41"/>
      <c r="E72" s="160" t="str">
        <f>IF(OR(D72="",C72=""),"",IF(D72&lt;=IFERROR(VLOOKUP(B72,A2:D13,4,FALSE),""),"✅ On Time","❌ Late"))</f>
        <v/>
      </c>
      <c r="F72" s="20"/>
      <c r="G72" s="44"/>
    </row>
    <row r="73" spans="1:14" ht="12.75">
      <c r="A73" s="40"/>
      <c r="B73" s="20"/>
      <c r="C73" s="41"/>
      <c r="E73" s="160" t="str">
        <f>IF(OR(D73="",C73=""),"",IF(D73&lt;=IFERROR(VLOOKUP(B73,A2:D13,4,FALSE),""),"✅ On Time","❌ Late"))</f>
        <v/>
      </c>
      <c r="F73" s="20"/>
      <c r="G73" s="44"/>
    </row>
    <row r="74" spans="1:14" ht="12.75">
      <c r="A74" s="40"/>
      <c r="B74" s="20"/>
      <c r="C74" s="41"/>
      <c r="E74" s="160" t="str">
        <f>IF(OR(D74="",C74=""),"",IF(D74&lt;=IFERROR(VLOOKUP(B74,A2:D13,4,FALSE),""),"✅ On Time","❌ Late"))</f>
        <v/>
      </c>
      <c r="F74" s="20"/>
      <c r="G74" s="44"/>
    </row>
    <row r="75" spans="1:14" ht="12.75">
      <c r="A75" s="40"/>
      <c r="B75" s="20"/>
      <c r="C75" s="41"/>
      <c r="E75" s="160" t="str">
        <f>IF(OR(D75="",C75=""),"",IF(D75&lt;=IFERROR(VLOOKUP(B75,A2:D13,4,FALSE),""),"✅ On Time","❌ Late"))</f>
        <v/>
      </c>
      <c r="F75" s="20"/>
      <c r="G75" s="44"/>
    </row>
    <row r="76" spans="1:14" ht="12.75">
      <c r="A76" s="40"/>
      <c r="B76" s="20"/>
      <c r="C76" s="41"/>
      <c r="E76" s="160" t="str">
        <f>IF(OR(D76="",C76=""),"",IF(D76&lt;=IFERROR(VLOOKUP(B76,A2:D13,4,FALSE),""),"✅ On Time","❌ Late"))</f>
        <v/>
      </c>
      <c r="F76" s="20"/>
      <c r="G76" s="44"/>
    </row>
    <row r="77" spans="1:14" ht="12.75">
      <c r="A77" s="40"/>
      <c r="B77" s="20"/>
      <c r="C77" s="41"/>
      <c r="E77" s="160" t="str">
        <f>IF(OR(D77="",C77=""),"",IF(D77&lt;=IFERROR(VLOOKUP(B77,A2:D13,4,FALSE),""),"✅ On Time","❌ Late"))</f>
        <v/>
      </c>
      <c r="F77" s="20"/>
      <c r="G77" s="44"/>
    </row>
    <row r="78" spans="1:14" ht="12.75">
      <c r="A78" s="187"/>
      <c r="B78" s="187"/>
      <c r="C78" s="187"/>
      <c r="E78" s="187"/>
      <c r="F78" s="187"/>
      <c r="G78" s="189"/>
      <c r="H78" s="187"/>
      <c r="I78" s="187"/>
      <c r="J78" s="187"/>
      <c r="K78" s="187"/>
      <c r="L78" s="187"/>
      <c r="M78" s="187"/>
      <c r="N78" s="187"/>
    </row>
    <row r="79" spans="1:14" ht="13.5">
      <c r="A79" s="196" t="s">
        <v>75</v>
      </c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</row>
    <row r="80" spans="1:14" ht="12.75">
      <c r="A80" s="160" t="s">
        <v>76</v>
      </c>
      <c r="B80" s="32" cm="1">
        <f t="array" ref="B80">SUMPRODUCT((C59:C77&lt;&gt;"")*1)</f>
        <v>0</v>
      </c>
    </row>
    <row r="81" spans="1:14" ht="12.75">
      <c r="A81" s="160" t="s">
        <v>77</v>
      </c>
      <c r="B81" s="32">
        <f>COUNTIF(E59:E77,"✅ On Time")</f>
        <v>0</v>
      </c>
    </row>
    <row r="82" spans="1:14" ht="12.75">
      <c r="A82" s="160" t="s">
        <v>78</v>
      </c>
      <c r="B82" s="32">
        <f>COUNTIF(E59:E77,"❌ Late")</f>
        <v>0</v>
      </c>
    </row>
    <row r="83" spans="1:14" ht="12.75">
      <c r="A83" s="160" t="s">
        <v>79</v>
      </c>
      <c r="B83" s="35">
        <f>IFERROR(B81/B80,0)</f>
        <v>0</v>
      </c>
    </row>
    <row r="84" spans="1:14" ht="12.75">
      <c r="A84" s="160" t="s">
        <v>80</v>
      </c>
      <c r="B84" s="32">
        <f>IF(B80=0,0,B81)</f>
        <v>0</v>
      </c>
    </row>
    <row r="85" spans="1:14" ht="13.5">
      <c r="A85" s="160" t="s">
        <v>81</v>
      </c>
      <c r="B85" s="165" t="str">
        <f>IF(B80=0,"No Data",IF(B83&gt;=0.95,"A+ — Excellent",IF(B83&gt;=0.9,"A — Great",IF(B83&gt;=0.8,"B — Good",IF(B83&gt;=0.7,"C — Fair","D — Needs Improvement")))))</f>
        <v>No Data</v>
      </c>
    </row>
    <row r="86" spans="1:14" ht="12.75">
      <c r="A86" s="187"/>
      <c r="B86" s="187"/>
      <c r="C86" s="187"/>
      <c r="E86" s="187"/>
      <c r="F86" s="187"/>
      <c r="G86" s="189"/>
      <c r="H86" s="187"/>
      <c r="I86" s="187"/>
      <c r="J86" s="187"/>
      <c r="K86" s="187"/>
      <c r="L86" s="187"/>
      <c r="M86" s="187"/>
      <c r="N86" s="187"/>
    </row>
    <row r="87" spans="1:14" ht="13.5">
      <c r="A87" s="196" t="s">
        <v>82</v>
      </c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</row>
    <row r="88" spans="1:14" ht="12.75">
      <c r="A88" s="160" t="s">
        <v>83</v>
      </c>
      <c r="B88" s="32">
        <f>COUNTIFS(J2:J13,"Discretionary",F2:F13,TRUE)</f>
        <v>3</v>
      </c>
    </row>
    <row r="89" spans="1:14" ht="12.75">
      <c r="A89" s="160" t="s">
        <v>84</v>
      </c>
      <c r="B89" s="26">
        <f>SUMIFS(B2:B13,J2:J13,"Discretionary",F2:F13,TRUE)</f>
        <v>62</v>
      </c>
    </row>
    <row r="90" spans="1:14" ht="12.75">
      <c r="A90" s="160" t="s">
        <v>85</v>
      </c>
      <c r="B90" s="26">
        <f>B89*12</f>
        <v>744</v>
      </c>
    </row>
    <row r="91" spans="1:14" ht="12.75">
      <c r="A91" s="160" t="s">
        <v>86</v>
      </c>
      <c r="B91" s="35">
        <f>IFERROR(B89/Assumptions!B10,0)</f>
        <v>1.9254658385093167E-2</v>
      </c>
    </row>
    <row r="92" spans="1:14" ht="12.75">
      <c r="A92" s="160"/>
    </row>
    <row r="93" spans="1:14" ht="12.75">
      <c r="A93" s="29" t="s">
        <v>87</v>
      </c>
    </row>
    <row r="94" spans="1:14" ht="12.75">
      <c r="A94" s="171" t="s">
        <v>88</v>
      </c>
      <c r="B94" s="171" t="s">
        <v>16</v>
      </c>
      <c r="C94" s="171" t="s">
        <v>89</v>
      </c>
    </row>
    <row r="95" spans="1:14" ht="12.75">
      <c r="A95" s="160" t="str" cm="1">
        <f t="array" ref="A95">IFERROR(INDEX(A$2:A$13,SMALL(IF((J$2:J$13="Discretionary")*(F$2:F$13=TRUE),ROW(A$2:A$13)-1),1)),"" )</f>
        <v>Gym Membership</v>
      </c>
      <c r="B95" s="163">
        <f>IF(A95="","",INDEX(B$2:B$13,MATCH(A95,A$2:A$13,0)))</f>
        <v>27</v>
      </c>
      <c r="C95" s="163">
        <f>IF(B95="","",B95*12)</f>
        <v>324</v>
      </c>
    </row>
    <row r="96" spans="1:14" ht="12.75">
      <c r="A96" s="160" t="str" cm="1">
        <f t="array" ref="A96">IFERROR(INDEX(A$2:A$13,SMALL(IF((J$2:J$13="Discretionary")*(F$2:F$13=TRUE),ROW(A$2:A$13)-1),2)),"" )</f>
        <v>Claude Subscription</v>
      </c>
      <c r="B96" s="163">
        <f>IF(A96="","",INDEX(B$2:B$13,MATCH(A96,A$2:A$13,0)))</f>
        <v>21</v>
      </c>
      <c r="C96" s="163">
        <f>IF(B96="","",B96*12)</f>
        <v>252</v>
      </c>
    </row>
    <row r="97" spans="1:14" ht="12.75">
      <c r="A97" s="160" t="str" cm="1">
        <f t="array" ref="A97">IFERROR(INDEX(A$2:A$13,SMALL(IF((J$2:J$13="Discretionary")*(F$2:F$13=TRUE),ROW(A$2:A$13)-1),3)),"" )</f>
        <v>YouTube Premium</v>
      </c>
      <c r="B97" s="163">
        <f>IF(A97="","",INDEX(B$2:B$13,MATCH(A97,A$2:A$13,0)))</f>
        <v>14</v>
      </c>
      <c r="C97" s="163">
        <f>IF(B97="","",B97*12)</f>
        <v>168</v>
      </c>
    </row>
    <row r="98" spans="1:14" ht="12.75">
      <c r="A98" s="160" t="str" cm="1">
        <f t="array" ref="A98">IFERROR(INDEX(A$2:A$13,SMALL(IF((J$2:J$13="Discretionary")*(F$2:F$13=TRUE),ROW(A$2:A$13)-1),4)),"" )</f>
        <v/>
      </c>
      <c r="B98" s="163" t="str">
        <f>IF(A98="","",INDEX(B$2:B$13,MATCH(A98,A$2:A$13,0)))</f>
        <v/>
      </c>
      <c r="C98" s="163" t="str">
        <f>IF(B98="","",B98*12)</f>
        <v/>
      </c>
    </row>
    <row r="99" spans="1:14" ht="12.75">
      <c r="A99" s="160" t="str" cm="1">
        <f t="array" ref="A99">IFERROR(INDEX(A$2:A$13,SMALL(IF((J$2:J$13="Discretionary")*(F$2:F$13=TRUE),ROW(A$2:A$13)-1),5)),"" )</f>
        <v/>
      </c>
      <c r="B99" s="163" t="str">
        <f>IF(A99="","",INDEX(B$2:B$13,MATCH(A99,A$2:A$13,0)))</f>
        <v/>
      </c>
      <c r="C99" s="163" t="str">
        <f>IF(B99="","",B99*12)</f>
        <v/>
      </c>
    </row>
    <row r="100" spans="1:14" ht="12.75">
      <c r="A100" s="187"/>
      <c r="B100" s="187"/>
      <c r="C100" s="187"/>
      <c r="E100" s="187"/>
      <c r="F100" s="187"/>
      <c r="G100" s="189"/>
      <c r="H100" s="187"/>
      <c r="I100" s="187"/>
      <c r="J100" s="187"/>
      <c r="K100" s="187"/>
      <c r="L100" s="187"/>
      <c r="M100" s="187"/>
      <c r="N100" s="187"/>
    </row>
    <row r="101" spans="1:14" ht="13.5">
      <c r="A101" s="196" t="s">
        <v>90</v>
      </c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</row>
    <row r="102" spans="1:14" ht="12.75">
      <c r="A102" s="160" t="s">
        <v>91</v>
      </c>
      <c r="B102" t="str">
        <f>IF(B20=0,"N/A",IF(B32/B20&gt;=0.8,"🟢 "&amp;TEXT(B32/B20,"0%")&amp;" on autopay",IF(B32/B20&gt;=0.5,"🟡 "&amp;TEXT(B32/B20,"0%")&amp;" on autopay","🔴 "&amp;TEXT(B32/B20,"0%")&amp;" on autopay")))</f>
        <v>🟡 78% on autopay</v>
      </c>
    </row>
    <row r="103" spans="1:14" ht="12.75">
      <c r="A103" s="160" t="s">
        <v>92</v>
      </c>
      <c r="B103" t="str">
        <f>IF(B19&lt;0.4,"🟢 "&amp;TEXT(B19,"0.0%")&amp;" — Healthy",IF(B19&lt;0.5,"🟡 "&amp;TEXT(B19,"0.0%")&amp;" — Monitor","🔴 "&amp;TEXT(B19,"0.0%")&amp;" — High"))</f>
        <v>🟡 47.3% — Monitor</v>
      </c>
    </row>
    <row r="104" spans="1:14" ht="12.75">
      <c r="A104" s="160" t="s">
        <v>93</v>
      </c>
      <c r="B104" t="str">
        <f>IF(B26=0,"🟢 No discretionary bills","🟢 "&amp;TEXT(B25/B26,"0.0")&amp;"x Essential-to-Discretionary")</f>
        <v>🟢 23.6x Essential-to-Discretionary</v>
      </c>
    </row>
    <row r="105" spans="1:14" ht="12.75">
      <c r="A105" s="160" t="s">
        <v>94</v>
      </c>
      <c r="B105" t="str">
        <f>IF(B91&lt;0.03,"🟢 Low — "&amp;TEXT(B91,"0.0%")&amp;" of income",IF(B91&lt;0.05,"🟡 Moderate — "&amp;TEXT(B91,"0.0%")&amp;" of income","🔴 High — "&amp;TEXT(B91,"0.0%")&amp;" of income"))</f>
        <v>🟢 Low — 1.9% of income</v>
      </c>
    </row>
    <row r="106" spans="1:14" ht="12.75">
      <c r="A106" s="160" t="s">
        <v>95</v>
      </c>
      <c r="B106" t="str">
        <f ca="1">B37</f>
        <v>🟢 No urgent manual bills</v>
      </c>
    </row>
    <row r="107" spans="1:14" ht="12.75">
      <c r="A107" s="160"/>
    </row>
    <row r="108" spans="1:14" ht="14.25">
      <c r="A108" s="36" t="s">
        <v>96</v>
      </c>
      <c r="B108" s="172" t="str">
        <f>IF(AND(B32/B20&gt;=0.5,B19&lt;0.5,B91&lt;0.05),"✅ HEALTHY",IF(OR(B19&gt;=0.5,B91&gt;=0.05),"⚠️ REVIEW NEEDED","✅ HEALTHY"))</f>
        <v>✅ HEALTHY</v>
      </c>
    </row>
    <row r="109" spans="1:14" ht="12.75">
      <c r="D109" s="1" t="str">
        <f t="shared" ca="1" si="1"/>
        <v/>
      </c>
    </row>
    <row r="110" spans="1:14" ht="12.75">
      <c r="D110" s="1" t="str">
        <f t="shared" ca="1" si="1"/>
        <v/>
      </c>
    </row>
    <row r="111" spans="1:14" ht="12.75">
      <c r="D111" s="1" t="str">
        <f t="shared" ca="1" si="1"/>
        <v/>
      </c>
    </row>
    <row r="112" spans="1:14" ht="12.75">
      <c r="D112" s="1" t="str">
        <f t="shared" ca="1" si="1"/>
        <v/>
      </c>
    </row>
    <row r="113" spans="4:4" ht="12.75">
      <c r="D113" s="1" t="str">
        <f t="shared" ca="1" si="1"/>
        <v/>
      </c>
    </row>
    <row r="114" spans="4:4" ht="12.75">
      <c r="D114" s="1" t="str">
        <f t="shared" ca="1" si="1"/>
        <v/>
      </c>
    </row>
    <row r="115" spans="4:4" ht="12.75">
      <c r="D115" s="1" t="str">
        <f t="shared" ca="1" si="1"/>
        <v/>
      </c>
    </row>
    <row r="116" spans="4:4" ht="12.75">
      <c r="D116" s="1" t="str">
        <f t="shared" ca="1" si="1"/>
        <v/>
      </c>
    </row>
    <row r="117" spans="4:4" ht="12.75">
      <c r="D117" s="1" t="str">
        <f t="shared" ca="1" si="1"/>
        <v/>
      </c>
    </row>
    <row r="118" spans="4:4" ht="12.75">
      <c r="D118" s="1" t="str">
        <f t="shared" ca="1" si="1"/>
        <v/>
      </c>
    </row>
    <row r="119" spans="4:4" ht="12.75">
      <c r="D119" s="1" t="str">
        <f t="shared" ca="1" si="1"/>
        <v/>
      </c>
    </row>
    <row r="120" spans="4:4" ht="12.75">
      <c r="D120" s="1" t="str">
        <f t="shared" ca="1" si="1"/>
        <v/>
      </c>
    </row>
    <row r="121" spans="4:4" ht="12.75">
      <c r="D121" s="1" t="str">
        <f t="shared" ca="1" si="1"/>
        <v/>
      </c>
    </row>
    <row r="122" spans="4:4" ht="12.75">
      <c r="D122" s="1" t="str">
        <f t="shared" ca="1" si="1"/>
        <v/>
      </c>
    </row>
    <row r="123" spans="4:4" ht="12.75">
      <c r="D123" s="1" t="str">
        <f t="shared" ca="1" si="1"/>
        <v/>
      </c>
    </row>
    <row r="124" spans="4:4" ht="12.75">
      <c r="D124" s="1" t="str">
        <f t="shared" ca="1" si="1"/>
        <v/>
      </c>
    </row>
    <row r="125" spans="4:4" ht="12.75">
      <c r="D125" s="1" t="str">
        <f t="shared" ca="1" si="1"/>
        <v/>
      </c>
    </row>
    <row r="126" spans="4:4" ht="12.75">
      <c r="D126" s="1" t="str">
        <f t="shared" ca="1" si="1"/>
        <v/>
      </c>
    </row>
    <row r="127" spans="4:4" ht="12.75">
      <c r="D127" s="1" t="str">
        <f t="shared" ca="1" si="1"/>
        <v/>
      </c>
    </row>
    <row r="128" spans="4:4" ht="12.75">
      <c r="D128" s="1" t="str">
        <f t="shared" ca="1" si="1"/>
        <v/>
      </c>
    </row>
    <row r="129" spans="4:4" ht="12.75">
      <c r="D129" s="1" t="str">
        <f t="shared" ca="1" si="1"/>
        <v/>
      </c>
    </row>
    <row r="130" spans="4:4" ht="12.75">
      <c r="D130" s="1" t="str">
        <f t="shared" ca="1" si="1"/>
        <v/>
      </c>
    </row>
    <row r="131" spans="4:4" ht="12.75">
      <c r="D131" s="1" t="str">
        <f t="shared" ca="1" si="1"/>
        <v/>
      </c>
    </row>
    <row r="132" spans="4:4" ht="12.75">
      <c r="D132" s="1" t="str">
        <f t="shared" ca="1" si="1"/>
        <v/>
      </c>
    </row>
    <row r="133" spans="4:4" ht="12.75">
      <c r="D133" s="1" t="str">
        <f t="shared" ca="1" si="1"/>
        <v/>
      </c>
    </row>
    <row r="134" spans="4:4" ht="12.75">
      <c r="D134" s="1" t="str">
        <f t="shared" ca="1" si="1"/>
        <v/>
      </c>
    </row>
    <row r="135" spans="4:4" ht="12.75">
      <c r="D135" s="1" t="str">
        <f t="shared" ca="1" si="1"/>
        <v/>
      </c>
    </row>
    <row r="136" spans="4:4" ht="12.75">
      <c r="D136" s="1" t="str">
        <f t="shared" ca="1" si="1"/>
        <v/>
      </c>
    </row>
    <row r="137" spans="4:4" ht="12.75">
      <c r="D137" s="1" t="str">
        <f t="shared" ca="1" si="1"/>
        <v/>
      </c>
    </row>
    <row r="138" spans="4:4" ht="12.75">
      <c r="D138" s="1" t="str">
        <f t="shared" ca="1" si="1"/>
        <v/>
      </c>
    </row>
    <row r="139" spans="4:4" ht="12.75">
      <c r="D139" s="1" t="str">
        <f t="shared" ca="1" si="1"/>
        <v/>
      </c>
    </row>
    <row r="140" spans="4:4" ht="12.75">
      <c r="D140" s="1" t="str">
        <f t="shared" ca="1" si="1"/>
        <v/>
      </c>
    </row>
    <row r="141" spans="4:4" ht="12.75">
      <c r="D141" s="1" t="str">
        <f t="shared" ca="1" si="1"/>
        <v/>
      </c>
    </row>
    <row r="142" spans="4:4" ht="12.75">
      <c r="D142" s="1" t="str">
        <f t="shared" ca="1" si="1"/>
        <v/>
      </c>
    </row>
    <row r="143" spans="4:4" ht="12.75">
      <c r="D143" s="1" t="str">
        <f t="shared" ca="1" si="1"/>
        <v/>
      </c>
    </row>
    <row r="144" spans="4:4" ht="12.75">
      <c r="D144" s="1" t="str">
        <f t="shared" ca="1" si="1"/>
        <v/>
      </c>
    </row>
    <row r="145" spans="4:4" ht="12.75">
      <c r="D145" s="1" t="str">
        <f t="shared" ca="1" si="1"/>
        <v/>
      </c>
    </row>
    <row r="146" spans="4:4" ht="12.75">
      <c r="D146" s="1" t="str">
        <f t="shared" ca="1" si="1"/>
        <v/>
      </c>
    </row>
    <row r="147" spans="4:4" ht="12.75">
      <c r="D147" s="1" t="str">
        <f t="shared" ca="1" si="1"/>
        <v/>
      </c>
    </row>
    <row r="148" spans="4:4" ht="12.75">
      <c r="D148" s="1" t="str">
        <f t="shared" ca="1" si="1"/>
        <v/>
      </c>
    </row>
    <row r="149" spans="4:4" ht="12.75">
      <c r="D149" s="1" t="str">
        <f t="shared" ca="1" si="1"/>
        <v/>
      </c>
    </row>
    <row r="150" spans="4:4" ht="12.75">
      <c r="D150" s="1" t="str">
        <f t="shared" ca="1" si="1"/>
        <v/>
      </c>
    </row>
    <row r="151" spans="4:4" ht="12.75">
      <c r="D151" s="1" t="str">
        <f t="shared" ca="1" si="1"/>
        <v/>
      </c>
    </row>
    <row r="152" spans="4:4" ht="12.75">
      <c r="D152" s="1" t="str">
        <f t="shared" ca="1" si="1"/>
        <v/>
      </c>
    </row>
    <row r="153" spans="4:4" ht="12.75">
      <c r="D153" s="1" t="str">
        <f t="shared" ca="1" si="1"/>
        <v/>
      </c>
    </row>
    <row r="154" spans="4:4" ht="12.75">
      <c r="D154" s="1" t="str">
        <f t="shared" ca="1" si="1"/>
        <v/>
      </c>
    </row>
    <row r="155" spans="4:4" ht="12.75">
      <c r="D155" s="1" t="str">
        <f t="shared" ca="1" si="1"/>
        <v/>
      </c>
    </row>
    <row r="156" spans="4:4" ht="12.75">
      <c r="D156" s="1" t="str">
        <f t="shared" ca="1" si="1"/>
        <v/>
      </c>
    </row>
    <row r="157" spans="4:4" ht="12.75">
      <c r="D157" s="1" t="str">
        <f t="shared" ca="1" si="1"/>
        <v/>
      </c>
    </row>
    <row r="158" spans="4:4" ht="12.75">
      <c r="D158" s="1" t="str">
        <f t="shared" ca="1" si="1"/>
        <v/>
      </c>
    </row>
    <row r="159" spans="4:4" ht="12.75">
      <c r="D159" s="1" t="str">
        <f t="shared" ca="1" si="1"/>
        <v/>
      </c>
    </row>
    <row r="160" spans="4:4" ht="12.75">
      <c r="D160" s="1" t="str">
        <f t="shared" ca="1" si="1"/>
        <v/>
      </c>
    </row>
    <row r="161" spans="4:4" ht="12.75">
      <c r="D161" s="1" t="str">
        <f t="shared" ca="1" si="1"/>
        <v/>
      </c>
    </row>
    <row r="162" spans="4:4" ht="12.75">
      <c r="D162" s="1" t="str">
        <f t="shared" ca="1" si="1"/>
        <v/>
      </c>
    </row>
    <row r="163" spans="4:4" ht="12.75">
      <c r="D163" s="1" t="str">
        <f t="shared" ca="1" si="1"/>
        <v/>
      </c>
    </row>
    <row r="164" spans="4:4" ht="12.75">
      <c r="D164" s="1" t="str">
        <f t="shared" ca="1" si="1"/>
        <v/>
      </c>
    </row>
    <row r="165" spans="4:4" ht="12.75">
      <c r="D165" s="1" t="str">
        <f t="shared" ca="1" si="1"/>
        <v/>
      </c>
    </row>
    <row r="166" spans="4:4" ht="12.75">
      <c r="D166" s="1" t="str">
        <f t="shared" ca="1" si="1"/>
        <v/>
      </c>
    </row>
    <row r="167" spans="4:4" ht="12.75">
      <c r="D167" s="1" t="str">
        <f t="shared" ca="1" si="1"/>
        <v/>
      </c>
    </row>
    <row r="168" spans="4:4" ht="12.75">
      <c r="D168" s="1" t="str">
        <f t="shared" ca="1" si="1"/>
        <v/>
      </c>
    </row>
    <row r="169" spans="4:4" ht="12.75">
      <c r="D169" s="1" t="str">
        <f t="shared" ca="1" si="1"/>
        <v/>
      </c>
    </row>
    <row r="170" spans="4:4" ht="12.75">
      <c r="D170" s="1" t="str">
        <f t="shared" ca="1" si="1"/>
        <v/>
      </c>
    </row>
    <row r="171" spans="4:4" ht="12.75">
      <c r="D171" s="1" t="str">
        <f t="shared" ca="1" si="1"/>
        <v/>
      </c>
    </row>
    <row r="172" spans="4:4" ht="12.75">
      <c r="D172" s="1" t="str">
        <f t="shared" ca="1" si="1"/>
        <v/>
      </c>
    </row>
    <row r="173" spans="4:4" ht="12.75">
      <c r="D173" s="1" t="str">
        <f t="shared" ca="1" si="1"/>
        <v/>
      </c>
    </row>
    <row r="174" spans="4:4" ht="12.75">
      <c r="D174" s="1" t="str">
        <f t="shared" ca="1" si="1"/>
        <v/>
      </c>
    </row>
    <row r="175" spans="4:4" ht="12.75">
      <c r="D175" s="1" t="str">
        <f t="shared" ca="1" si="1"/>
        <v/>
      </c>
    </row>
    <row r="176" spans="4:4" ht="12.75">
      <c r="D176" s="1" t="str">
        <f t="shared" ca="1" si="1"/>
        <v/>
      </c>
    </row>
    <row r="177" spans="4:4" ht="12.75">
      <c r="D177" s="1" t="str">
        <f t="shared" ca="1" si="1"/>
        <v/>
      </c>
    </row>
    <row r="178" spans="4:4" ht="12.75">
      <c r="D178" s="1" t="str">
        <f t="shared" ca="1" si="1"/>
        <v/>
      </c>
    </row>
    <row r="179" spans="4:4" ht="12.75">
      <c r="D179" s="1" t="str">
        <f t="shared" ca="1" si="1"/>
        <v/>
      </c>
    </row>
    <row r="180" spans="4:4" ht="12.75">
      <c r="D180" s="1" t="str">
        <f t="shared" ca="1" si="1"/>
        <v/>
      </c>
    </row>
    <row r="181" spans="4:4" ht="12.75">
      <c r="D181" s="1" t="str">
        <f t="shared" ca="1" si="1"/>
        <v/>
      </c>
    </row>
    <row r="182" spans="4:4" ht="12.75">
      <c r="D182" s="1" t="str">
        <f t="shared" ca="1" si="1"/>
        <v/>
      </c>
    </row>
    <row r="183" spans="4:4" ht="12.75">
      <c r="D183" s="1" t="str">
        <f t="shared" ca="1" si="1"/>
        <v/>
      </c>
    </row>
    <row r="184" spans="4:4" ht="12.75">
      <c r="D184" s="1" t="str">
        <f t="shared" ca="1" si="1"/>
        <v/>
      </c>
    </row>
    <row r="185" spans="4:4" ht="12.75">
      <c r="D185" s="1" t="str">
        <f t="shared" ca="1" si="1"/>
        <v/>
      </c>
    </row>
    <row r="186" spans="4:4" ht="12.75">
      <c r="D186" s="1" t="str">
        <f t="shared" ca="1" si="1"/>
        <v/>
      </c>
    </row>
    <row r="187" spans="4:4" ht="12.75">
      <c r="D187" s="1" t="str">
        <f t="shared" ca="1" si="1"/>
        <v/>
      </c>
    </row>
    <row r="188" spans="4:4" ht="12.75">
      <c r="D188" s="1" t="str">
        <f t="shared" ca="1" si="1"/>
        <v/>
      </c>
    </row>
    <row r="189" spans="4:4" ht="12.75">
      <c r="D189" s="1" t="str">
        <f t="shared" ca="1" si="1"/>
        <v/>
      </c>
    </row>
    <row r="190" spans="4:4" ht="12.75">
      <c r="D190" s="1" t="str">
        <f t="shared" ca="1" si="1"/>
        <v/>
      </c>
    </row>
    <row r="191" spans="4:4" ht="12.75">
      <c r="D191" s="1" t="str">
        <f t="shared" ca="1" si="1"/>
        <v/>
      </c>
    </row>
    <row r="192" spans="4:4" ht="12.75">
      <c r="D192" s="1" t="str">
        <f t="shared" ca="1" si="1"/>
        <v/>
      </c>
    </row>
    <row r="193" spans="4:4" ht="12.75">
      <c r="D193" s="1" t="str">
        <f t="shared" ca="1" si="1"/>
        <v/>
      </c>
    </row>
    <row r="194" spans="4:4" ht="12.75">
      <c r="D194" s="1" t="str">
        <f t="shared" ca="1" si="1"/>
        <v/>
      </c>
    </row>
    <row r="195" spans="4:4" ht="12.75">
      <c r="D195" s="1" t="str">
        <f t="shared" ca="1" si="1"/>
        <v/>
      </c>
    </row>
    <row r="196" spans="4:4" ht="12.75">
      <c r="D196" s="1" t="str">
        <f t="shared" ca="1" si="1"/>
        <v/>
      </c>
    </row>
    <row r="197" spans="4:4" ht="12.75">
      <c r="D197" s="1" t="str">
        <f t="shared" ca="1" si="1"/>
        <v/>
      </c>
    </row>
    <row r="198" spans="4:4" ht="12.75">
      <c r="D198" s="1" t="str">
        <f t="shared" ca="1" si="1"/>
        <v/>
      </c>
    </row>
    <row r="199" spans="4:4" ht="12.75">
      <c r="D199" s="1" t="str">
        <f t="shared" ca="1" si="1"/>
        <v/>
      </c>
    </row>
    <row r="200" spans="4:4" ht="12.75">
      <c r="D200" s="1" t="str">
        <f t="shared" ca="1" si="1"/>
        <v/>
      </c>
    </row>
    <row r="201" spans="4:4" ht="12.75">
      <c r="D201" s="1" t="str">
        <f t="shared" ca="1" si="1"/>
        <v/>
      </c>
    </row>
    <row r="202" spans="4:4" ht="12.75">
      <c r="D202" s="1" t="str">
        <f t="shared" ca="1" si="1"/>
        <v/>
      </c>
    </row>
    <row r="203" spans="4:4" ht="12.75">
      <c r="D203" s="1" t="str">
        <f t="shared" ca="1" si="1"/>
        <v/>
      </c>
    </row>
    <row r="204" spans="4:4" ht="12.75">
      <c r="D204" s="1" t="str">
        <f t="shared" ca="1" si="1"/>
        <v/>
      </c>
    </row>
    <row r="205" spans="4:4" ht="12.75">
      <c r="D205" s="1" t="str">
        <f t="shared" ca="1" si="1"/>
        <v/>
      </c>
    </row>
    <row r="206" spans="4:4" ht="12.75">
      <c r="D206" s="1" t="str">
        <f t="shared" ca="1" si="1"/>
        <v/>
      </c>
    </row>
    <row r="207" spans="4:4" ht="12.75">
      <c r="D207" s="1" t="str">
        <f t="shared" ca="1" si="1"/>
        <v/>
      </c>
    </row>
    <row r="208" spans="4:4" ht="12.75">
      <c r="D208" s="1" t="str">
        <f t="shared" ca="1" si="1"/>
        <v/>
      </c>
    </row>
    <row r="209" spans="4:4" ht="12.75">
      <c r="D209" s="1" t="str">
        <f t="shared" ca="1" si="1"/>
        <v/>
      </c>
    </row>
    <row r="210" spans="4:4" ht="12.75">
      <c r="D210" s="1" t="str">
        <f t="shared" ca="1" si="1"/>
        <v/>
      </c>
    </row>
    <row r="211" spans="4:4" ht="12.75">
      <c r="D211" s="1" t="str">
        <f t="shared" ca="1" si="1"/>
        <v/>
      </c>
    </row>
    <row r="212" spans="4:4" ht="12.75">
      <c r="D212" s="1" t="str">
        <f t="shared" ca="1" si="1"/>
        <v/>
      </c>
    </row>
    <row r="213" spans="4:4" ht="12.75">
      <c r="D213" s="1" t="str">
        <f t="shared" ca="1" si="1"/>
        <v/>
      </c>
    </row>
    <row r="214" spans="4:4" ht="12.75">
      <c r="D214" s="1" t="str">
        <f t="shared" ca="1" si="1"/>
        <v/>
      </c>
    </row>
    <row r="215" spans="4:4" ht="12.75">
      <c r="D215" s="1" t="str">
        <f t="shared" ca="1" si="1"/>
        <v/>
      </c>
    </row>
    <row r="216" spans="4:4" ht="12.75">
      <c r="D216" s="1" t="str">
        <f t="shared" ca="1" si="1"/>
        <v/>
      </c>
    </row>
    <row r="217" spans="4:4" ht="12.75">
      <c r="D217" s="1" t="str">
        <f t="shared" ca="1" si="1"/>
        <v/>
      </c>
    </row>
    <row r="218" spans="4:4" ht="12.75">
      <c r="D218" s="1" t="str">
        <f t="shared" ca="1" si="1"/>
        <v/>
      </c>
    </row>
    <row r="219" spans="4:4" ht="12.75">
      <c r="D219" s="1" t="str">
        <f t="shared" ca="1" si="1"/>
        <v/>
      </c>
    </row>
    <row r="220" spans="4:4" ht="12.75">
      <c r="D220" s="1" t="str">
        <f t="shared" ca="1" si="1"/>
        <v/>
      </c>
    </row>
    <row r="221" spans="4:4" ht="12.75">
      <c r="D221" s="1" t="str">
        <f t="shared" ca="1" si="1"/>
        <v/>
      </c>
    </row>
    <row r="222" spans="4:4" ht="12.75">
      <c r="D222" s="1" t="str">
        <f t="shared" ca="1" si="1"/>
        <v/>
      </c>
    </row>
    <row r="223" spans="4:4" ht="12.75">
      <c r="D223" s="1" t="str">
        <f t="shared" ca="1" si="1"/>
        <v/>
      </c>
    </row>
    <row r="224" spans="4:4" ht="12.75">
      <c r="D224" s="1" t="str">
        <f t="shared" ca="1" si="1"/>
        <v/>
      </c>
    </row>
    <row r="225" spans="4:4" ht="12.75">
      <c r="D225" s="1" t="str">
        <f t="shared" ca="1" si="1"/>
        <v/>
      </c>
    </row>
    <row r="226" spans="4:4" ht="12.75">
      <c r="D226" s="1" t="str">
        <f t="shared" ca="1" si="1"/>
        <v/>
      </c>
    </row>
    <row r="227" spans="4:4" ht="12.75">
      <c r="D227" s="1" t="str">
        <f t="shared" ca="1" si="1"/>
        <v/>
      </c>
    </row>
    <row r="228" spans="4:4" ht="12.75">
      <c r="D228" s="1" t="str">
        <f t="shared" ca="1" si="1"/>
        <v/>
      </c>
    </row>
    <row r="229" spans="4:4" ht="12.75">
      <c r="D229" s="1" t="str">
        <f t="shared" ca="1" si="1"/>
        <v/>
      </c>
    </row>
    <row r="230" spans="4:4" ht="12.75">
      <c r="D230" s="1" t="str">
        <f t="shared" ca="1" si="1"/>
        <v/>
      </c>
    </row>
    <row r="231" spans="4:4" ht="12.75">
      <c r="D231" s="1" t="str">
        <f t="shared" ca="1" si="1"/>
        <v/>
      </c>
    </row>
    <row r="232" spans="4:4" ht="12.75">
      <c r="D232" s="1" t="str">
        <f t="shared" ca="1" si="1"/>
        <v/>
      </c>
    </row>
    <row r="233" spans="4:4" ht="12.75">
      <c r="D233" s="1" t="str">
        <f t="shared" ca="1" si="1"/>
        <v/>
      </c>
    </row>
    <row r="234" spans="4:4" ht="12.75">
      <c r="D234" s="1" t="str">
        <f t="shared" ca="1" si="1"/>
        <v/>
      </c>
    </row>
    <row r="235" spans="4:4" ht="12.75">
      <c r="D235" s="1" t="str">
        <f t="shared" ref="D235:D489" ca="1" si="2">IF(OR(C235="",F235=FALSE),"",IF(DATE(YEAR(TODAY()),MONTH(TODAY()),C235)&gt;=TODAY(),DATE(YEAR(TODAY()),MONTH(TODAY()),C235),EDATE(DATE(YEAR(TODAY()),MONTH(TODAY()),C235),1)))</f>
        <v/>
      </c>
    </row>
    <row r="236" spans="4:4" ht="12.75">
      <c r="D236" s="1" t="str">
        <f t="shared" ca="1" si="2"/>
        <v/>
      </c>
    </row>
    <row r="237" spans="4:4" ht="12.75">
      <c r="D237" s="1" t="str">
        <f t="shared" ca="1" si="2"/>
        <v/>
      </c>
    </row>
    <row r="238" spans="4:4" ht="12.75">
      <c r="D238" s="1" t="str">
        <f t="shared" ca="1" si="2"/>
        <v/>
      </c>
    </row>
    <row r="239" spans="4:4" ht="12.75">
      <c r="D239" s="1" t="str">
        <f t="shared" ca="1" si="2"/>
        <v/>
      </c>
    </row>
    <row r="240" spans="4:4" ht="12.75">
      <c r="D240" s="1" t="str">
        <f t="shared" ca="1" si="2"/>
        <v/>
      </c>
    </row>
    <row r="241" spans="4:4" ht="12.75">
      <c r="D241" s="1" t="str">
        <f t="shared" ca="1" si="2"/>
        <v/>
      </c>
    </row>
    <row r="242" spans="4:4" ht="12.75">
      <c r="D242" s="1" t="str">
        <f t="shared" ca="1" si="2"/>
        <v/>
      </c>
    </row>
    <row r="243" spans="4:4" ht="12.75">
      <c r="D243" s="1" t="str">
        <f t="shared" ca="1" si="2"/>
        <v/>
      </c>
    </row>
    <row r="244" spans="4:4" ht="12.75">
      <c r="D244" s="1" t="str">
        <f t="shared" ca="1" si="2"/>
        <v/>
      </c>
    </row>
    <row r="245" spans="4:4" ht="12.75">
      <c r="D245" s="1" t="str">
        <f t="shared" ca="1" si="2"/>
        <v/>
      </c>
    </row>
    <row r="246" spans="4:4" ht="12.75">
      <c r="D246" s="1" t="str">
        <f t="shared" ca="1" si="2"/>
        <v/>
      </c>
    </row>
    <row r="247" spans="4:4" ht="12.75">
      <c r="D247" s="1" t="str">
        <f t="shared" ca="1" si="2"/>
        <v/>
      </c>
    </row>
    <row r="248" spans="4:4" ht="12.75">
      <c r="D248" s="1" t="str">
        <f t="shared" ca="1" si="2"/>
        <v/>
      </c>
    </row>
    <row r="249" spans="4:4" ht="12.75">
      <c r="D249" s="1" t="str">
        <f t="shared" ca="1" si="2"/>
        <v/>
      </c>
    </row>
    <row r="250" spans="4:4" ht="12.75">
      <c r="D250" s="1" t="str">
        <f t="shared" ca="1" si="2"/>
        <v/>
      </c>
    </row>
    <row r="251" spans="4:4" ht="12.75">
      <c r="D251" s="1" t="str">
        <f t="shared" ca="1" si="2"/>
        <v/>
      </c>
    </row>
    <row r="252" spans="4:4" ht="12.75">
      <c r="D252" s="1" t="str">
        <f t="shared" ca="1" si="2"/>
        <v/>
      </c>
    </row>
    <row r="253" spans="4:4" ht="12.75">
      <c r="D253" s="1" t="str">
        <f t="shared" ca="1" si="2"/>
        <v/>
      </c>
    </row>
    <row r="254" spans="4:4" ht="12.75">
      <c r="D254" s="1" t="str">
        <f t="shared" ca="1" si="2"/>
        <v/>
      </c>
    </row>
    <row r="255" spans="4:4" ht="12.75">
      <c r="D255" s="1" t="str">
        <f t="shared" ca="1" si="2"/>
        <v/>
      </c>
    </row>
    <row r="256" spans="4:4" ht="12.75">
      <c r="D256" s="1" t="str">
        <f t="shared" ca="1" si="2"/>
        <v/>
      </c>
    </row>
    <row r="257" spans="4:4" ht="12.75">
      <c r="D257" s="1" t="str">
        <f t="shared" ca="1" si="2"/>
        <v/>
      </c>
    </row>
    <row r="258" spans="4:4" ht="12.75">
      <c r="D258" s="1" t="str">
        <f t="shared" ca="1" si="2"/>
        <v/>
      </c>
    </row>
    <row r="259" spans="4:4" ht="12.75">
      <c r="D259" s="1" t="str">
        <f t="shared" ca="1" si="2"/>
        <v/>
      </c>
    </row>
    <row r="260" spans="4:4" ht="12.75">
      <c r="D260" s="1" t="str">
        <f t="shared" ca="1" si="2"/>
        <v/>
      </c>
    </row>
    <row r="261" spans="4:4" ht="12.75">
      <c r="D261" s="1" t="str">
        <f t="shared" ca="1" si="2"/>
        <v/>
      </c>
    </row>
    <row r="262" spans="4:4" ht="12.75">
      <c r="D262" s="1" t="str">
        <f t="shared" ca="1" si="2"/>
        <v/>
      </c>
    </row>
    <row r="263" spans="4:4" ht="12.75">
      <c r="D263" s="1" t="str">
        <f t="shared" ca="1" si="2"/>
        <v/>
      </c>
    </row>
    <row r="264" spans="4:4" ht="12.75">
      <c r="D264" s="1" t="str">
        <f t="shared" ca="1" si="2"/>
        <v/>
      </c>
    </row>
    <row r="265" spans="4:4" ht="12.75">
      <c r="D265" s="1" t="str">
        <f t="shared" ca="1" si="2"/>
        <v/>
      </c>
    </row>
    <row r="266" spans="4:4" ht="12.75">
      <c r="D266" s="1" t="str">
        <f t="shared" ca="1" si="2"/>
        <v/>
      </c>
    </row>
    <row r="267" spans="4:4" ht="12.75">
      <c r="D267" s="1" t="str">
        <f t="shared" ca="1" si="2"/>
        <v/>
      </c>
    </row>
    <row r="268" spans="4:4" ht="12.75">
      <c r="D268" s="1" t="str">
        <f t="shared" ca="1" si="2"/>
        <v/>
      </c>
    </row>
    <row r="269" spans="4:4" ht="12.75">
      <c r="D269" s="1" t="str">
        <f t="shared" ca="1" si="2"/>
        <v/>
      </c>
    </row>
    <row r="270" spans="4:4" ht="12.75">
      <c r="D270" s="1" t="str">
        <f t="shared" ca="1" si="2"/>
        <v/>
      </c>
    </row>
    <row r="271" spans="4:4" ht="12.75">
      <c r="D271" s="1" t="str">
        <f t="shared" ca="1" si="2"/>
        <v/>
      </c>
    </row>
    <row r="272" spans="4:4" ht="12.75">
      <c r="D272" s="1" t="str">
        <f t="shared" ca="1" si="2"/>
        <v/>
      </c>
    </row>
    <row r="273" spans="4:4" ht="12.75">
      <c r="D273" s="1" t="str">
        <f t="shared" ca="1" si="2"/>
        <v/>
      </c>
    </row>
    <row r="274" spans="4:4" ht="12.75">
      <c r="D274" s="1" t="str">
        <f t="shared" ca="1" si="2"/>
        <v/>
      </c>
    </row>
    <row r="275" spans="4:4" ht="12.75">
      <c r="D275" s="1" t="str">
        <f t="shared" ca="1" si="2"/>
        <v/>
      </c>
    </row>
    <row r="276" spans="4:4" ht="12.75">
      <c r="D276" s="1" t="str">
        <f t="shared" ca="1" si="2"/>
        <v/>
      </c>
    </row>
    <row r="277" spans="4:4" ht="12.75">
      <c r="D277" s="1" t="str">
        <f t="shared" ca="1" si="2"/>
        <v/>
      </c>
    </row>
    <row r="278" spans="4:4" ht="12.75">
      <c r="D278" s="1" t="str">
        <f t="shared" ca="1" si="2"/>
        <v/>
      </c>
    </row>
    <row r="279" spans="4:4" ht="12.75">
      <c r="D279" s="1" t="str">
        <f t="shared" ca="1" si="2"/>
        <v/>
      </c>
    </row>
    <row r="280" spans="4:4" ht="12.75">
      <c r="D280" s="1" t="str">
        <f t="shared" ca="1" si="2"/>
        <v/>
      </c>
    </row>
    <row r="281" spans="4:4" ht="12.75">
      <c r="D281" s="1" t="str">
        <f t="shared" ca="1" si="2"/>
        <v/>
      </c>
    </row>
    <row r="282" spans="4:4" ht="12.75">
      <c r="D282" s="1" t="str">
        <f t="shared" ca="1" si="2"/>
        <v/>
      </c>
    </row>
    <row r="283" spans="4:4" ht="12.75">
      <c r="D283" s="1" t="str">
        <f t="shared" ca="1" si="2"/>
        <v/>
      </c>
    </row>
    <row r="284" spans="4:4" ht="12.75">
      <c r="D284" s="1" t="str">
        <f t="shared" ca="1" si="2"/>
        <v/>
      </c>
    </row>
    <row r="285" spans="4:4" ht="12.75">
      <c r="D285" s="1" t="str">
        <f t="shared" ca="1" si="2"/>
        <v/>
      </c>
    </row>
    <row r="286" spans="4:4" ht="12.75">
      <c r="D286" s="1" t="str">
        <f t="shared" ca="1" si="2"/>
        <v/>
      </c>
    </row>
    <row r="287" spans="4:4" ht="12.75">
      <c r="D287" s="1" t="str">
        <f t="shared" ca="1" si="2"/>
        <v/>
      </c>
    </row>
    <row r="288" spans="4:4" ht="12.75">
      <c r="D288" s="1" t="str">
        <f t="shared" ca="1" si="2"/>
        <v/>
      </c>
    </row>
    <row r="289" spans="4:4" ht="12.75">
      <c r="D289" s="1" t="str">
        <f t="shared" ca="1" si="2"/>
        <v/>
      </c>
    </row>
    <row r="290" spans="4:4" ht="12.75">
      <c r="D290" s="1" t="str">
        <f t="shared" ca="1" si="2"/>
        <v/>
      </c>
    </row>
    <row r="291" spans="4:4" ht="12.75">
      <c r="D291" s="1" t="str">
        <f t="shared" ca="1" si="2"/>
        <v/>
      </c>
    </row>
    <row r="292" spans="4:4" ht="12.75">
      <c r="D292" s="1" t="str">
        <f t="shared" ca="1" si="2"/>
        <v/>
      </c>
    </row>
    <row r="293" spans="4:4" ht="12.75">
      <c r="D293" s="1" t="str">
        <f t="shared" ca="1" si="2"/>
        <v/>
      </c>
    </row>
    <row r="294" spans="4:4" ht="12.75">
      <c r="D294" s="1" t="str">
        <f t="shared" ca="1" si="2"/>
        <v/>
      </c>
    </row>
    <row r="295" spans="4:4" ht="12.75">
      <c r="D295" s="1" t="str">
        <f t="shared" ca="1" si="2"/>
        <v/>
      </c>
    </row>
    <row r="296" spans="4:4" ht="12.75">
      <c r="D296" s="1" t="str">
        <f t="shared" ca="1" si="2"/>
        <v/>
      </c>
    </row>
    <row r="297" spans="4:4" ht="12.75">
      <c r="D297" s="1" t="str">
        <f t="shared" ca="1" si="2"/>
        <v/>
      </c>
    </row>
    <row r="298" spans="4:4" ht="12.75">
      <c r="D298" s="1" t="str">
        <f t="shared" ca="1" si="2"/>
        <v/>
      </c>
    </row>
    <row r="299" spans="4:4" ht="12.75">
      <c r="D299" s="1" t="str">
        <f t="shared" ca="1" si="2"/>
        <v/>
      </c>
    </row>
    <row r="300" spans="4:4" ht="12.75">
      <c r="D300" s="1" t="str">
        <f t="shared" ca="1" si="2"/>
        <v/>
      </c>
    </row>
    <row r="301" spans="4:4" ht="12.75">
      <c r="D301" s="1" t="str">
        <f t="shared" ca="1" si="2"/>
        <v/>
      </c>
    </row>
    <row r="302" spans="4:4" ht="12.75">
      <c r="D302" s="1" t="str">
        <f t="shared" ca="1" si="2"/>
        <v/>
      </c>
    </row>
    <row r="303" spans="4:4" ht="12.75">
      <c r="D303" s="1" t="str">
        <f t="shared" ca="1" si="2"/>
        <v/>
      </c>
    </row>
    <row r="304" spans="4:4" ht="12.75">
      <c r="D304" s="1" t="str">
        <f t="shared" ca="1" si="2"/>
        <v/>
      </c>
    </row>
    <row r="305" spans="4:4" ht="12.75">
      <c r="D305" s="1" t="str">
        <f t="shared" ca="1" si="2"/>
        <v/>
      </c>
    </row>
    <row r="306" spans="4:4" ht="12.75">
      <c r="D306" s="1" t="str">
        <f t="shared" ca="1" si="2"/>
        <v/>
      </c>
    </row>
    <row r="307" spans="4:4" ht="12.75">
      <c r="D307" s="1" t="str">
        <f t="shared" ca="1" si="2"/>
        <v/>
      </c>
    </row>
    <row r="308" spans="4:4" ht="12.75">
      <c r="D308" s="1" t="str">
        <f t="shared" ca="1" si="2"/>
        <v/>
      </c>
    </row>
    <row r="309" spans="4:4" ht="12.75">
      <c r="D309" s="1" t="str">
        <f t="shared" ca="1" si="2"/>
        <v/>
      </c>
    </row>
    <row r="310" spans="4:4" ht="12.75">
      <c r="D310" s="1" t="str">
        <f t="shared" ca="1" si="2"/>
        <v/>
      </c>
    </row>
    <row r="311" spans="4:4" ht="12.75">
      <c r="D311" s="1" t="str">
        <f t="shared" ca="1" si="2"/>
        <v/>
      </c>
    </row>
    <row r="312" spans="4:4" ht="12.75">
      <c r="D312" s="1" t="str">
        <f t="shared" ca="1" si="2"/>
        <v/>
      </c>
    </row>
    <row r="313" spans="4:4" ht="12.75">
      <c r="D313" s="1" t="str">
        <f t="shared" ca="1" si="2"/>
        <v/>
      </c>
    </row>
    <row r="314" spans="4:4" ht="12.75">
      <c r="D314" s="1" t="str">
        <f t="shared" ca="1" si="2"/>
        <v/>
      </c>
    </row>
    <row r="315" spans="4:4" ht="12.75">
      <c r="D315" s="1" t="str">
        <f t="shared" ca="1" si="2"/>
        <v/>
      </c>
    </row>
    <row r="316" spans="4:4" ht="12.75">
      <c r="D316" s="1" t="str">
        <f t="shared" ca="1" si="2"/>
        <v/>
      </c>
    </row>
    <row r="317" spans="4:4" ht="12.75">
      <c r="D317" s="1" t="str">
        <f t="shared" ca="1" si="2"/>
        <v/>
      </c>
    </row>
    <row r="318" spans="4:4" ht="12.75">
      <c r="D318" s="1" t="str">
        <f t="shared" ca="1" si="2"/>
        <v/>
      </c>
    </row>
    <row r="319" spans="4:4" ht="12.75">
      <c r="D319" s="1" t="str">
        <f t="shared" ca="1" si="2"/>
        <v/>
      </c>
    </row>
    <row r="320" spans="4:4" ht="12.75">
      <c r="D320" s="1" t="str">
        <f t="shared" ca="1" si="2"/>
        <v/>
      </c>
    </row>
    <row r="321" spans="4:4" ht="12.75">
      <c r="D321" s="1" t="str">
        <f t="shared" ca="1" si="2"/>
        <v/>
      </c>
    </row>
    <row r="322" spans="4:4" ht="12.75">
      <c r="D322" s="1" t="str">
        <f t="shared" ca="1" si="2"/>
        <v/>
      </c>
    </row>
    <row r="323" spans="4:4" ht="12.75">
      <c r="D323" s="1" t="str">
        <f t="shared" ca="1" si="2"/>
        <v/>
      </c>
    </row>
    <row r="324" spans="4:4" ht="12.75">
      <c r="D324" s="1" t="str">
        <f t="shared" ca="1" si="2"/>
        <v/>
      </c>
    </row>
    <row r="325" spans="4:4" ht="12.75">
      <c r="D325" s="1" t="str">
        <f t="shared" ca="1" si="2"/>
        <v/>
      </c>
    </row>
    <row r="326" spans="4:4" ht="12.75">
      <c r="D326" s="1" t="str">
        <f t="shared" ca="1" si="2"/>
        <v/>
      </c>
    </row>
    <row r="327" spans="4:4" ht="12.75">
      <c r="D327" s="1" t="str">
        <f t="shared" ca="1" si="2"/>
        <v/>
      </c>
    </row>
    <row r="328" spans="4:4" ht="12.75">
      <c r="D328" s="1" t="str">
        <f t="shared" ca="1" si="2"/>
        <v/>
      </c>
    </row>
    <row r="329" spans="4:4" ht="12.75">
      <c r="D329" s="1" t="str">
        <f t="shared" ca="1" si="2"/>
        <v/>
      </c>
    </row>
    <row r="330" spans="4:4" ht="12.75">
      <c r="D330" s="1" t="str">
        <f t="shared" ca="1" si="2"/>
        <v/>
      </c>
    </row>
    <row r="331" spans="4:4" ht="12.75">
      <c r="D331" s="1" t="str">
        <f t="shared" ca="1" si="2"/>
        <v/>
      </c>
    </row>
    <row r="332" spans="4:4" ht="12.75">
      <c r="D332" s="1" t="str">
        <f t="shared" ca="1" si="2"/>
        <v/>
      </c>
    </row>
    <row r="333" spans="4:4" ht="12.75">
      <c r="D333" s="1" t="str">
        <f t="shared" ca="1" si="2"/>
        <v/>
      </c>
    </row>
    <row r="334" spans="4:4" ht="12.75">
      <c r="D334" s="1" t="str">
        <f t="shared" ca="1" si="2"/>
        <v/>
      </c>
    </row>
    <row r="335" spans="4:4" ht="12.75">
      <c r="D335" s="1" t="str">
        <f t="shared" ca="1" si="2"/>
        <v/>
      </c>
    </row>
    <row r="336" spans="4:4" ht="12.75">
      <c r="D336" s="1" t="str">
        <f t="shared" ca="1" si="2"/>
        <v/>
      </c>
    </row>
    <row r="337" spans="4:4" ht="12.75">
      <c r="D337" s="1" t="str">
        <f t="shared" ca="1" si="2"/>
        <v/>
      </c>
    </row>
    <row r="338" spans="4:4" ht="12.75">
      <c r="D338" s="1" t="str">
        <f t="shared" ca="1" si="2"/>
        <v/>
      </c>
    </row>
    <row r="339" spans="4:4" ht="12.75">
      <c r="D339" s="1" t="str">
        <f t="shared" ca="1" si="2"/>
        <v/>
      </c>
    </row>
    <row r="340" spans="4:4" ht="12.75">
      <c r="D340" s="1" t="str">
        <f t="shared" ca="1" si="2"/>
        <v/>
      </c>
    </row>
    <row r="341" spans="4:4" ht="12.75">
      <c r="D341" s="1" t="str">
        <f t="shared" ca="1" si="2"/>
        <v/>
      </c>
    </row>
    <row r="342" spans="4:4" ht="12.75">
      <c r="D342" s="1" t="str">
        <f t="shared" ca="1" si="2"/>
        <v/>
      </c>
    </row>
    <row r="343" spans="4:4" ht="12.75">
      <c r="D343" s="1" t="str">
        <f t="shared" ca="1" si="2"/>
        <v/>
      </c>
    </row>
    <row r="344" spans="4:4" ht="12.75">
      <c r="D344" s="1" t="str">
        <f t="shared" ca="1" si="2"/>
        <v/>
      </c>
    </row>
    <row r="345" spans="4:4" ht="12.75">
      <c r="D345" s="1" t="str">
        <f t="shared" ca="1" si="2"/>
        <v/>
      </c>
    </row>
    <row r="346" spans="4:4" ht="12.75">
      <c r="D346" s="1" t="str">
        <f t="shared" ca="1" si="2"/>
        <v/>
      </c>
    </row>
    <row r="347" spans="4:4" ht="12.75">
      <c r="D347" s="1" t="str">
        <f t="shared" ca="1" si="2"/>
        <v/>
      </c>
    </row>
    <row r="348" spans="4:4" ht="12.75">
      <c r="D348" s="1" t="str">
        <f t="shared" ca="1" si="2"/>
        <v/>
      </c>
    </row>
    <row r="349" spans="4:4" ht="12.75">
      <c r="D349" s="1" t="str">
        <f t="shared" ca="1" si="2"/>
        <v/>
      </c>
    </row>
    <row r="350" spans="4:4" ht="12.75">
      <c r="D350" s="1" t="str">
        <f t="shared" ca="1" si="2"/>
        <v/>
      </c>
    </row>
    <row r="351" spans="4:4" ht="12.75">
      <c r="D351" s="1" t="str">
        <f t="shared" ca="1" si="2"/>
        <v/>
      </c>
    </row>
    <row r="352" spans="4:4" ht="12.75">
      <c r="D352" s="1" t="str">
        <f t="shared" ca="1" si="2"/>
        <v/>
      </c>
    </row>
    <row r="353" spans="4:4" ht="12.75">
      <c r="D353" s="1" t="str">
        <f t="shared" ca="1" si="2"/>
        <v/>
      </c>
    </row>
    <row r="354" spans="4:4" ht="12.75">
      <c r="D354" s="1" t="str">
        <f t="shared" ca="1" si="2"/>
        <v/>
      </c>
    </row>
    <row r="355" spans="4:4" ht="12.75">
      <c r="D355" s="1" t="str">
        <f t="shared" ca="1" si="2"/>
        <v/>
      </c>
    </row>
    <row r="356" spans="4:4" ht="12.75">
      <c r="D356" s="1" t="str">
        <f t="shared" ca="1" si="2"/>
        <v/>
      </c>
    </row>
    <row r="357" spans="4:4" ht="12.75">
      <c r="D357" s="1" t="str">
        <f t="shared" ca="1" si="2"/>
        <v/>
      </c>
    </row>
    <row r="358" spans="4:4" ht="12.75">
      <c r="D358" s="1" t="str">
        <f t="shared" ca="1" si="2"/>
        <v/>
      </c>
    </row>
    <row r="359" spans="4:4" ht="12.75">
      <c r="D359" s="1" t="str">
        <f t="shared" ca="1" si="2"/>
        <v/>
      </c>
    </row>
    <row r="360" spans="4:4" ht="12.75">
      <c r="D360" s="1" t="str">
        <f t="shared" ca="1" si="2"/>
        <v/>
      </c>
    </row>
    <row r="361" spans="4:4" ht="12.75">
      <c r="D361" s="1" t="str">
        <f t="shared" ca="1" si="2"/>
        <v/>
      </c>
    </row>
    <row r="362" spans="4:4" ht="12.75">
      <c r="D362" s="1" t="str">
        <f t="shared" ca="1" si="2"/>
        <v/>
      </c>
    </row>
    <row r="363" spans="4:4" ht="12.75">
      <c r="D363" s="1" t="str">
        <f t="shared" ca="1" si="2"/>
        <v/>
      </c>
    </row>
    <row r="364" spans="4:4" ht="12.75">
      <c r="D364" s="1" t="str">
        <f t="shared" ca="1" si="2"/>
        <v/>
      </c>
    </row>
    <row r="365" spans="4:4" ht="12.75">
      <c r="D365" s="1" t="str">
        <f t="shared" ca="1" si="2"/>
        <v/>
      </c>
    </row>
    <row r="366" spans="4:4" ht="12.75">
      <c r="D366" s="1" t="str">
        <f t="shared" ca="1" si="2"/>
        <v/>
      </c>
    </row>
    <row r="367" spans="4:4" ht="12.75">
      <c r="D367" s="1" t="str">
        <f t="shared" ca="1" si="2"/>
        <v/>
      </c>
    </row>
    <row r="368" spans="4:4" ht="12.75">
      <c r="D368" s="1" t="str">
        <f t="shared" ca="1" si="2"/>
        <v/>
      </c>
    </row>
    <row r="369" spans="4:4" ht="12.75">
      <c r="D369" s="1" t="str">
        <f t="shared" ca="1" si="2"/>
        <v/>
      </c>
    </row>
    <row r="370" spans="4:4" ht="12.75">
      <c r="D370" s="1" t="str">
        <f t="shared" ca="1" si="2"/>
        <v/>
      </c>
    </row>
    <row r="371" spans="4:4" ht="12.75">
      <c r="D371" s="1" t="str">
        <f t="shared" ca="1" si="2"/>
        <v/>
      </c>
    </row>
    <row r="372" spans="4:4" ht="12.75">
      <c r="D372" s="1" t="str">
        <f t="shared" ca="1" si="2"/>
        <v/>
      </c>
    </row>
    <row r="373" spans="4:4" ht="12.75">
      <c r="D373" s="1" t="str">
        <f t="shared" ca="1" si="2"/>
        <v/>
      </c>
    </row>
    <row r="374" spans="4:4" ht="12.75">
      <c r="D374" s="1" t="str">
        <f t="shared" ca="1" si="2"/>
        <v/>
      </c>
    </row>
    <row r="375" spans="4:4" ht="12.75">
      <c r="D375" s="1" t="str">
        <f t="shared" ca="1" si="2"/>
        <v/>
      </c>
    </row>
    <row r="376" spans="4:4" ht="12.75">
      <c r="D376" s="1" t="str">
        <f t="shared" ca="1" si="2"/>
        <v/>
      </c>
    </row>
    <row r="377" spans="4:4" ht="12.75">
      <c r="D377" s="1" t="str">
        <f t="shared" ca="1" si="2"/>
        <v/>
      </c>
    </row>
    <row r="378" spans="4:4" ht="12.75">
      <c r="D378" s="1" t="str">
        <f t="shared" ca="1" si="2"/>
        <v/>
      </c>
    </row>
    <row r="379" spans="4:4" ht="12.75">
      <c r="D379" s="1" t="str">
        <f t="shared" ca="1" si="2"/>
        <v/>
      </c>
    </row>
    <row r="380" spans="4:4" ht="12.75">
      <c r="D380" s="1" t="str">
        <f t="shared" ca="1" si="2"/>
        <v/>
      </c>
    </row>
    <row r="381" spans="4:4" ht="12.75">
      <c r="D381" s="1" t="str">
        <f t="shared" ca="1" si="2"/>
        <v/>
      </c>
    </row>
    <row r="382" spans="4:4" ht="12.75">
      <c r="D382" s="1" t="str">
        <f t="shared" ca="1" si="2"/>
        <v/>
      </c>
    </row>
    <row r="383" spans="4:4" ht="12.75">
      <c r="D383" s="1" t="str">
        <f t="shared" ca="1" si="2"/>
        <v/>
      </c>
    </row>
    <row r="384" spans="4:4" ht="12.75">
      <c r="D384" s="1" t="str">
        <f t="shared" ca="1" si="2"/>
        <v/>
      </c>
    </row>
    <row r="385" spans="4:4" ht="12.75">
      <c r="D385" s="1" t="str">
        <f t="shared" ca="1" si="2"/>
        <v/>
      </c>
    </row>
    <row r="386" spans="4:4" ht="12.75">
      <c r="D386" s="1" t="str">
        <f t="shared" ca="1" si="2"/>
        <v/>
      </c>
    </row>
    <row r="387" spans="4:4" ht="12.75">
      <c r="D387" s="1" t="str">
        <f t="shared" ca="1" si="2"/>
        <v/>
      </c>
    </row>
    <row r="388" spans="4:4" ht="12.75">
      <c r="D388" s="1" t="str">
        <f t="shared" ca="1" si="2"/>
        <v/>
      </c>
    </row>
    <row r="389" spans="4:4" ht="12.75">
      <c r="D389" s="1" t="str">
        <f t="shared" ca="1" si="2"/>
        <v/>
      </c>
    </row>
    <row r="390" spans="4:4" ht="12.75">
      <c r="D390" s="1" t="str">
        <f t="shared" ca="1" si="2"/>
        <v/>
      </c>
    </row>
    <row r="391" spans="4:4" ht="12.75">
      <c r="D391" s="1" t="str">
        <f t="shared" ca="1" si="2"/>
        <v/>
      </c>
    </row>
    <row r="392" spans="4:4" ht="12.75">
      <c r="D392" s="1" t="str">
        <f t="shared" ca="1" si="2"/>
        <v/>
      </c>
    </row>
    <row r="393" spans="4:4" ht="12.75">
      <c r="D393" s="1" t="str">
        <f t="shared" ca="1" si="2"/>
        <v/>
      </c>
    </row>
    <row r="394" spans="4:4" ht="12.75">
      <c r="D394" s="1" t="str">
        <f t="shared" ca="1" si="2"/>
        <v/>
      </c>
    </row>
    <row r="395" spans="4:4" ht="12.75">
      <c r="D395" s="1" t="str">
        <f t="shared" ca="1" si="2"/>
        <v/>
      </c>
    </row>
    <row r="396" spans="4:4" ht="12.75">
      <c r="D396" s="1" t="str">
        <f t="shared" ca="1" si="2"/>
        <v/>
      </c>
    </row>
    <row r="397" spans="4:4" ht="12.75">
      <c r="D397" s="1" t="str">
        <f t="shared" ca="1" si="2"/>
        <v/>
      </c>
    </row>
    <row r="398" spans="4:4" ht="12.75">
      <c r="D398" s="1" t="str">
        <f t="shared" ca="1" si="2"/>
        <v/>
      </c>
    </row>
    <row r="399" spans="4:4" ht="12.75">
      <c r="D399" s="1" t="str">
        <f t="shared" ca="1" si="2"/>
        <v/>
      </c>
    </row>
    <row r="400" spans="4:4" ht="12.75">
      <c r="D400" s="1" t="str">
        <f t="shared" ca="1" si="2"/>
        <v/>
      </c>
    </row>
    <row r="401" spans="4:4" ht="12.75">
      <c r="D401" s="1" t="str">
        <f t="shared" ca="1" si="2"/>
        <v/>
      </c>
    </row>
    <row r="402" spans="4:4" ht="12.75">
      <c r="D402" s="1" t="str">
        <f t="shared" ca="1" si="2"/>
        <v/>
      </c>
    </row>
    <row r="403" spans="4:4" ht="12.75">
      <c r="D403" s="1" t="str">
        <f t="shared" ca="1" si="2"/>
        <v/>
      </c>
    </row>
    <row r="404" spans="4:4" ht="12.75">
      <c r="D404" s="1" t="str">
        <f t="shared" ca="1" si="2"/>
        <v/>
      </c>
    </row>
    <row r="405" spans="4:4" ht="12.75">
      <c r="D405" s="1" t="str">
        <f t="shared" ca="1" si="2"/>
        <v/>
      </c>
    </row>
    <row r="406" spans="4:4" ht="12.75">
      <c r="D406" s="1" t="str">
        <f t="shared" ca="1" si="2"/>
        <v/>
      </c>
    </row>
    <row r="407" spans="4:4" ht="12.75">
      <c r="D407" s="1" t="str">
        <f t="shared" ca="1" si="2"/>
        <v/>
      </c>
    </row>
    <row r="408" spans="4:4" ht="12.75">
      <c r="D408" s="1" t="str">
        <f t="shared" ca="1" si="2"/>
        <v/>
      </c>
    </row>
    <row r="409" spans="4:4" ht="12.75">
      <c r="D409" s="1" t="str">
        <f t="shared" ca="1" si="2"/>
        <v/>
      </c>
    </row>
    <row r="410" spans="4:4" ht="12.75">
      <c r="D410" s="1" t="str">
        <f t="shared" ca="1" si="2"/>
        <v/>
      </c>
    </row>
    <row r="411" spans="4:4" ht="12.75">
      <c r="D411" s="1" t="str">
        <f t="shared" ca="1" si="2"/>
        <v/>
      </c>
    </row>
    <row r="412" spans="4:4" ht="12.75">
      <c r="D412" s="1" t="str">
        <f t="shared" ca="1" si="2"/>
        <v/>
      </c>
    </row>
    <row r="413" spans="4:4" ht="12.75">
      <c r="D413" s="1" t="str">
        <f t="shared" ca="1" si="2"/>
        <v/>
      </c>
    </row>
    <row r="414" spans="4:4" ht="12.75">
      <c r="D414" s="1" t="str">
        <f t="shared" ca="1" si="2"/>
        <v/>
      </c>
    </row>
    <row r="415" spans="4:4" ht="12.75">
      <c r="D415" s="1" t="str">
        <f t="shared" ca="1" si="2"/>
        <v/>
      </c>
    </row>
    <row r="416" spans="4:4" ht="12.75">
      <c r="D416" s="1" t="str">
        <f t="shared" ca="1" si="2"/>
        <v/>
      </c>
    </row>
    <row r="417" spans="4:4" ht="12.75">
      <c r="D417" s="1" t="str">
        <f t="shared" ca="1" si="2"/>
        <v/>
      </c>
    </row>
    <row r="418" spans="4:4" ht="12.75">
      <c r="D418" s="1" t="str">
        <f t="shared" ca="1" si="2"/>
        <v/>
      </c>
    </row>
    <row r="419" spans="4:4" ht="12.75">
      <c r="D419" s="1" t="str">
        <f t="shared" ca="1" si="2"/>
        <v/>
      </c>
    </row>
    <row r="420" spans="4:4" ht="12.75">
      <c r="D420" s="1" t="str">
        <f t="shared" ca="1" si="2"/>
        <v/>
      </c>
    </row>
    <row r="421" spans="4:4" ht="12.75">
      <c r="D421" s="1" t="str">
        <f t="shared" ca="1" si="2"/>
        <v/>
      </c>
    </row>
    <row r="422" spans="4:4" ht="12.75">
      <c r="D422" s="1" t="str">
        <f t="shared" ca="1" si="2"/>
        <v/>
      </c>
    </row>
    <row r="423" spans="4:4" ht="12.75">
      <c r="D423" s="1" t="str">
        <f t="shared" ca="1" si="2"/>
        <v/>
      </c>
    </row>
    <row r="424" spans="4:4" ht="12.75">
      <c r="D424" s="1" t="str">
        <f t="shared" ca="1" si="2"/>
        <v/>
      </c>
    </row>
    <row r="425" spans="4:4" ht="12.75">
      <c r="D425" s="1" t="str">
        <f t="shared" ca="1" si="2"/>
        <v/>
      </c>
    </row>
    <row r="426" spans="4:4" ht="12.75">
      <c r="D426" s="1" t="str">
        <f t="shared" ca="1" si="2"/>
        <v/>
      </c>
    </row>
    <row r="427" spans="4:4" ht="12.75">
      <c r="D427" s="1" t="str">
        <f t="shared" ca="1" si="2"/>
        <v/>
      </c>
    </row>
    <row r="428" spans="4:4" ht="12.75">
      <c r="D428" s="1" t="str">
        <f t="shared" ca="1" si="2"/>
        <v/>
      </c>
    </row>
    <row r="429" spans="4:4" ht="12.75">
      <c r="D429" s="1" t="str">
        <f t="shared" ca="1" si="2"/>
        <v/>
      </c>
    </row>
    <row r="430" spans="4:4" ht="12.75">
      <c r="D430" s="1" t="str">
        <f t="shared" ca="1" si="2"/>
        <v/>
      </c>
    </row>
    <row r="431" spans="4:4" ht="12.75">
      <c r="D431" s="1" t="str">
        <f t="shared" ca="1" si="2"/>
        <v/>
      </c>
    </row>
    <row r="432" spans="4:4" ht="12.75">
      <c r="D432" s="1" t="str">
        <f t="shared" ca="1" si="2"/>
        <v/>
      </c>
    </row>
    <row r="433" spans="4:4" ht="12.75">
      <c r="D433" s="1" t="str">
        <f t="shared" ca="1" si="2"/>
        <v/>
      </c>
    </row>
    <row r="434" spans="4:4" ht="12.75">
      <c r="D434" s="1" t="str">
        <f t="shared" ca="1" si="2"/>
        <v/>
      </c>
    </row>
    <row r="435" spans="4:4" ht="12.75">
      <c r="D435" s="1" t="str">
        <f t="shared" ca="1" si="2"/>
        <v/>
      </c>
    </row>
    <row r="436" spans="4:4" ht="12.75">
      <c r="D436" s="1" t="str">
        <f t="shared" ca="1" si="2"/>
        <v/>
      </c>
    </row>
    <row r="437" spans="4:4" ht="12.75">
      <c r="D437" s="1" t="str">
        <f t="shared" ca="1" si="2"/>
        <v/>
      </c>
    </row>
    <row r="438" spans="4:4" ht="12.75">
      <c r="D438" s="1" t="str">
        <f t="shared" ca="1" si="2"/>
        <v/>
      </c>
    </row>
    <row r="439" spans="4:4" ht="12.75">
      <c r="D439" s="1" t="str">
        <f t="shared" ca="1" si="2"/>
        <v/>
      </c>
    </row>
    <row r="440" spans="4:4" ht="12.75">
      <c r="D440" s="1" t="str">
        <f t="shared" ca="1" si="2"/>
        <v/>
      </c>
    </row>
    <row r="441" spans="4:4" ht="12.75">
      <c r="D441" s="1" t="str">
        <f t="shared" ca="1" si="2"/>
        <v/>
      </c>
    </row>
    <row r="442" spans="4:4" ht="12.75">
      <c r="D442" s="1" t="str">
        <f t="shared" ca="1" si="2"/>
        <v/>
      </c>
    </row>
    <row r="443" spans="4:4" ht="12.75">
      <c r="D443" s="1" t="str">
        <f t="shared" ca="1" si="2"/>
        <v/>
      </c>
    </row>
    <row r="444" spans="4:4" ht="12.75">
      <c r="D444" s="1" t="str">
        <f t="shared" ca="1" si="2"/>
        <v/>
      </c>
    </row>
    <row r="445" spans="4:4" ht="12.75">
      <c r="D445" s="1" t="str">
        <f t="shared" ca="1" si="2"/>
        <v/>
      </c>
    </row>
    <row r="446" spans="4:4" ht="12.75">
      <c r="D446" s="1" t="str">
        <f t="shared" ca="1" si="2"/>
        <v/>
      </c>
    </row>
    <row r="447" spans="4:4" ht="12.75">
      <c r="D447" s="1" t="str">
        <f t="shared" ca="1" si="2"/>
        <v/>
      </c>
    </row>
    <row r="448" spans="4:4" ht="12.75">
      <c r="D448" s="1" t="str">
        <f t="shared" ca="1" si="2"/>
        <v/>
      </c>
    </row>
    <row r="449" spans="4:4" ht="12.75">
      <c r="D449" s="1" t="str">
        <f t="shared" ca="1" si="2"/>
        <v/>
      </c>
    </row>
    <row r="450" spans="4:4" ht="12.75">
      <c r="D450" s="1" t="str">
        <f t="shared" ca="1" si="2"/>
        <v/>
      </c>
    </row>
    <row r="451" spans="4:4" ht="12.75">
      <c r="D451" s="1" t="str">
        <f t="shared" ca="1" si="2"/>
        <v/>
      </c>
    </row>
    <row r="452" spans="4:4" ht="12.75">
      <c r="D452" s="1" t="str">
        <f t="shared" ca="1" si="2"/>
        <v/>
      </c>
    </row>
    <row r="453" spans="4:4" ht="12.75">
      <c r="D453" s="1" t="str">
        <f t="shared" ca="1" si="2"/>
        <v/>
      </c>
    </row>
    <row r="454" spans="4:4" ht="12.75">
      <c r="D454" s="1" t="str">
        <f t="shared" ca="1" si="2"/>
        <v/>
      </c>
    </row>
    <row r="455" spans="4:4" ht="12.75">
      <c r="D455" s="1" t="str">
        <f t="shared" ca="1" si="2"/>
        <v/>
      </c>
    </row>
    <row r="456" spans="4:4" ht="12.75">
      <c r="D456" s="1" t="str">
        <f t="shared" ca="1" si="2"/>
        <v/>
      </c>
    </row>
    <row r="457" spans="4:4" ht="12.75">
      <c r="D457" s="1" t="str">
        <f t="shared" ca="1" si="2"/>
        <v/>
      </c>
    </row>
    <row r="458" spans="4:4" ht="12.75">
      <c r="D458" s="1" t="str">
        <f t="shared" ca="1" si="2"/>
        <v/>
      </c>
    </row>
    <row r="459" spans="4:4" ht="12.75">
      <c r="D459" s="1" t="str">
        <f t="shared" ca="1" si="2"/>
        <v/>
      </c>
    </row>
    <row r="460" spans="4:4" ht="12.75">
      <c r="D460" s="1" t="str">
        <f t="shared" ca="1" si="2"/>
        <v/>
      </c>
    </row>
    <row r="461" spans="4:4" ht="12.75">
      <c r="D461" s="1" t="str">
        <f t="shared" ca="1" si="2"/>
        <v/>
      </c>
    </row>
    <row r="462" spans="4:4" ht="12.75">
      <c r="D462" s="1" t="str">
        <f t="shared" ca="1" si="2"/>
        <v/>
      </c>
    </row>
    <row r="463" spans="4:4" ht="12.75">
      <c r="D463" s="1" t="str">
        <f t="shared" ca="1" si="2"/>
        <v/>
      </c>
    </row>
    <row r="464" spans="4:4" ht="12.75">
      <c r="D464" s="1" t="str">
        <f t="shared" ca="1" si="2"/>
        <v/>
      </c>
    </row>
    <row r="465" spans="4:4" ht="12.75">
      <c r="D465" s="1" t="str">
        <f t="shared" ca="1" si="2"/>
        <v/>
      </c>
    </row>
    <row r="466" spans="4:4" ht="12.75">
      <c r="D466" s="1" t="str">
        <f t="shared" ca="1" si="2"/>
        <v/>
      </c>
    </row>
    <row r="467" spans="4:4" ht="12.75">
      <c r="D467" s="1" t="str">
        <f t="shared" ca="1" si="2"/>
        <v/>
      </c>
    </row>
    <row r="468" spans="4:4" ht="12.75">
      <c r="D468" s="1" t="str">
        <f t="shared" ca="1" si="2"/>
        <v/>
      </c>
    </row>
    <row r="469" spans="4:4" ht="12.75">
      <c r="D469" s="1" t="str">
        <f t="shared" ca="1" si="2"/>
        <v/>
      </c>
    </row>
    <row r="470" spans="4:4" ht="12.75">
      <c r="D470" s="1" t="str">
        <f t="shared" ca="1" si="2"/>
        <v/>
      </c>
    </row>
    <row r="471" spans="4:4" ht="12.75">
      <c r="D471" s="1" t="str">
        <f t="shared" ca="1" si="2"/>
        <v/>
      </c>
    </row>
    <row r="472" spans="4:4" ht="12.75">
      <c r="D472" s="1" t="str">
        <f t="shared" ca="1" si="2"/>
        <v/>
      </c>
    </row>
    <row r="473" spans="4:4" ht="12.75">
      <c r="D473" s="1" t="str">
        <f t="shared" ca="1" si="2"/>
        <v/>
      </c>
    </row>
    <row r="474" spans="4:4" ht="12.75">
      <c r="D474" s="1" t="str">
        <f t="shared" ca="1" si="2"/>
        <v/>
      </c>
    </row>
    <row r="475" spans="4:4" ht="12.75">
      <c r="D475" s="1" t="str">
        <f t="shared" ca="1" si="2"/>
        <v/>
      </c>
    </row>
    <row r="476" spans="4:4" ht="12.75">
      <c r="D476" s="1" t="str">
        <f t="shared" ca="1" si="2"/>
        <v/>
      </c>
    </row>
    <row r="477" spans="4:4" ht="12.75">
      <c r="D477" s="1" t="str">
        <f t="shared" ca="1" si="2"/>
        <v/>
      </c>
    </row>
    <row r="478" spans="4:4" ht="12.75">
      <c r="D478" s="1" t="str">
        <f t="shared" ca="1" si="2"/>
        <v/>
      </c>
    </row>
    <row r="479" spans="4:4" ht="12.75">
      <c r="D479" s="1" t="str">
        <f t="shared" ca="1" si="2"/>
        <v/>
      </c>
    </row>
    <row r="480" spans="4:4" ht="12.75">
      <c r="D480" s="1" t="str">
        <f t="shared" ca="1" si="2"/>
        <v/>
      </c>
    </row>
    <row r="481" spans="4:4" ht="12.75">
      <c r="D481" s="1" t="str">
        <f t="shared" ca="1" si="2"/>
        <v/>
      </c>
    </row>
    <row r="482" spans="4:4" ht="12.75">
      <c r="D482" s="1" t="str">
        <f t="shared" ca="1" si="2"/>
        <v/>
      </c>
    </row>
    <row r="483" spans="4:4" ht="12.75">
      <c r="D483" s="1" t="str">
        <f t="shared" ca="1" si="2"/>
        <v/>
      </c>
    </row>
    <row r="484" spans="4:4" ht="12.75">
      <c r="D484" s="1" t="str">
        <f t="shared" ca="1" si="2"/>
        <v/>
      </c>
    </row>
    <row r="485" spans="4:4" ht="12.75">
      <c r="D485" s="1" t="str">
        <f t="shared" ca="1" si="2"/>
        <v/>
      </c>
    </row>
    <row r="486" spans="4:4" ht="12.75">
      <c r="D486" s="1" t="str">
        <f t="shared" ca="1" si="2"/>
        <v/>
      </c>
    </row>
    <row r="487" spans="4:4" ht="12.75">
      <c r="D487" s="1" t="str">
        <f t="shared" ca="1" si="2"/>
        <v/>
      </c>
    </row>
    <row r="488" spans="4:4" ht="12.75">
      <c r="D488" s="1" t="str">
        <f t="shared" ca="1" si="2"/>
        <v/>
      </c>
    </row>
    <row r="489" spans="4:4" ht="12.75">
      <c r="D489" s="1" t="str">
        <f t="shared" ca="1" si="2"/>
        <v/>
      </c>
    </row>
    <row r="490" spans="4:4" ht="12.75">
      <c r="D490" s="1" t="str">
        <f t="shared" ref="D490:D507" ca="1" si="3">IF(OR(C490="",F490=FALSE),"",IF(DATE(YEAR(TODAY()),MONTH(TODAY()),C490)&gt;=TODAY(),DATE(YEAR(TODAY()),MONTH(TODAY()),C490),EDATE(DATE(YEAR(TODAY()),MONTH(TODAY()),C490),1)))</f>
        <v/>
      </c>
    </row>
    <row r="491" spans="4:4" ht="12.75">
      <c r="D491" s="1" t="str">
        <f t="shared" ca="1" si="3"/>
        <v/>
      </c>
    </row>
    <row r="492" spans="4:4" ht="12.75">
      <c r="D492" s="1" t="str">
        <f t="shared" ca="1" si="3"/>
        <v/>
      </c>
    </row>
    <row r="493" spans="4:4" ht="12.75">
      <c r="D493" s="1" t="str">
        <f t="shared" ca="1" si="3"/>
        <v/>
      </c>
    </row>
    <row r="494" spans="4:4" ht="12.75">
      <c r="D494" s="1" t="str">
        <f t="shared" ca="1" si="3"/>
        <v/>
      </c>
    </row>
    <row r="495" spans="4:4" ht="12.75">
      <c r="D495" s="1" t="str">
        <f t="shared" ca="1" si="3"/>
        <v/>
      </c>
    </row>
    <row r="496" spans="4:4" ht="12.75">
      <c r="D496" s="1" t="str">
        <f t="shared" ca="1" si="3"/>
        <v/>
      </c>
    </row>
    <row r="497" spans="4:4" ht="12.75">
      <c r="D497" s="1" t="str">
        <f t="shared" ca="1" si="3"/>
        <v/>
      </c>
    </row>
    <row r="498" spans="4:4" ht="12.75">
      <c r="D498" s="1" t="str">
        <f t="shared" ca="1" si="3"/>
        <v/>
      </c>
    </row>
    <row r="499" spans="4:4" ht="12.75">
      <c r="D499" s="1" t="str">
        <f t="shared" ca="1" si="3"/>
        <v/>
      </c>
    </row>
    <row r="500" spans="4:4" ht="12.75">
      <c r="D500" s="1" t="str">
        <f t="shared" ca="1" si="3"/>
        <v/>
      </c>
    </row>
    <row r="501" spans="4:4" ht="12.75">
      <c r="D501" s="1" t="str">
        <f t="shared" ca="1" si="3"/>
        <v/>
      </c>
    </row>
    <row r="502" spans="4:4" ht="12.75">
      <c r="D502" s="1" t="str">
        <f t="shared" ca="1" si="3"/>
        <v/>
      </c>
    </row>
    <row r="503" spans="4:4" ht="12.75">
      <c r="D503" s="1" t="str">
        <f t="shared" ca="1" si="3"/>
        <v/>
      </c>
    </row>
    <row r="504" spans="4:4" ht="12.75">
      <c r="D504" s="1" t="str">
        <f t="shared" ca="1" si="3"/>
        <v/>
      </c>
    </row>
    <row r="505" spans="4:4" ht="12.75">
      <c r="D505" s="1" t="str">
        <f t="shared" ca="1" si="3"/>
        <v/>
      </c>
    </row>
    <row r="506" spans="4:4" ht="12.75">
      <c r="D506" s="1" t="str">
        <f t="shared" ca="1" si="3"/>
        <v/>
      </c>
    </row>
    <row r="507" spans="4:4" ht="12.75">
      <c r="D507" s="1" t="str">
        <f t="shared" ca="1" si="3"/>
        <v/>
      </c>
    </row>
  </sheetData>
  <mergeCells count="8">
    <mergeCell ref="A79:N79"/>
    <mergeCell ref="A87:N87"/>
    <mergeCell ref="A101:N101"/>
    <mergeCell ref="A15:N15"/>
    <mergeCell ref="A23:N23"/>
    <mergeCell ref="A31:N31"/>
    <mergeCell ref="A39:N39"/>
    <mergeCell ref="A48:N48"/>
  </mergeCells>
  <conditionalFormatting sqref="B19">
    <cfRule type="cellIs" dxfId="35" priority="12" operator="lessThan">
      <formula>0.4</formula>
    </cfRule>
    <cfRule type="cellIs" dxfId="34" priority="13" operator="between">
      <formula>0.4</formula>
      <formula>0.5</formula>
    </cfRule>
    <cfRule type="cellIs" dxfId="33" priority="14" operator="greaterThanOrEqual">
      <formula>0.5</formula>
    </cfRule>
  </conditionalFormatting>
  <conditionalFormatting sqref="B83">
    <cfRule type="cellIs" dxfId="32" priority="15" operator="greaterThanOrEqual">
      <formula>0.9</formula>
    </cfRule>
    <cfRule type="cellIs" dxfId="31" priority="16" operator="between">
      <formula>0.7</formula>
      <formula>0.9</formula>
    </cfRule>
    <cfRule type="cellIs" dxfId="30" priority="17" operator="lessThan">
      <formula>0.7</formula>
    </cfRule>
  </conditionalFormatting>
  <conditionalFormatting sqref="E41:E45">
    <cfRule type="cellIs" dxfId="29" priority="5" operator="between">
      <formula>0</formula>
      <formula>3</formula>
    </cfRule>
    <cfRule type="cellIs" dxfId="28" priority="6" operator="between">
      <formula>4</formula>
      <formula>7</formula>
    </cfRule>
    <cfRule type="cellIs" dxfId="27" priority="7" operator="between">
      <formula>8</formula>
      <formula>999</formula>
    </cfRule>
  </conditionalFormatting>
  <conditionalFormatting sqref="F2:F13 H2:H13">
    <cfRule type="expression" dxfId="26" priority="1">
      <formula>F2=TRUE</formula>
    </cfRule>
  </conditionalFormatting>
  <conditionalFormatting sqref="F2:F13">
    <cfRule type="expression" dxfId="25" priority="4">
      <formula>F2=FALSE</formula>
    </cfRule>
    <cfRule type="cellIs" dxfId="24" priority="8" operator="equal">
      <formula>TRUE</formula>
    </cfRule>
    <cfRule type="cellIs" dxfId="23" priority="9" operator="equal">
      <formula>FALSE</formula>
    </cfRule>
  </conditionalFormatting>
  <conditionalFormatting sqref="H2:H13">
    <cfRule type="expression" dxfId="22" priority="2">
      <formula>H2=FALSE</formula>
    </cfRule>
  </conditionalFormatting>
  <conditionalFormatting sqref="K2:K13">
    <cfRule type="cellIs" dxfId="21" priority="10" operator="equal">
      <formula>TRUE</formula>
    </cfRule>
    <cfRule type="cellIs" dxfId="20" priority="11" operator="equal">
      <formula>FALSE</formula>
    </cfRule>
  </conditionalFormatting>
  <dataValidations count="4">
    <dataValidation type="list" allowBlank="1" showInputMessage="1" showErrorMessage="1" sqref="J2:J13" xr:uid="{402F47D8-F1B3-4626-9665-CC2A9FA8D80E}">
      <formula1>"Essential,Discretionary,Debt,Variable"</formula1>
    </dataValidation>
    <dataValidation type="list" allowBlank="1" showInputMessage="1" showErrorMessage="1" sqref="K2:K13" xr:uid="{8A03BE94-ED91-409D-87E1-E92BA71E2FCF}">
      <formula1>"TRUE,FALSE"</formula1>
    </dataValidation>
    <dataValidation type="list" allowBlank="1" showInputMessage="1" showErrorMessage="1" sqref="E2:E13" xr:uid="{F84F300F-ADF9-405A-A9AE-834120446FDC}">
      <formula1>"Monthly,Quarterly,Semi-Annual,Annual,Variable"</formula1>
    </dataValidation>
    <dataValidation type="list" allowBlank="1" showInputMessage="1" showErrorMessage="1" sqref="F59:F77" xr:uid="{A0B9EF1F-20CC-4BB0-A39D-A9EB8580B4E1}">
      <formula1>"Autopay,Manual,Check,ACH,Credit Card,Cash"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68"/>
  <sheetViews>
    <sheetView tabSelected="1" workbookViewId="0">
      <pane ySplit="2" topLeftCell="A3" activePane="bottomLeft" state="frozen"/>
      <selection pane="bottomLeft" activeCell="B6" sqref="B6"/>
      <selection activeCell="B1" sqref="B1"/>
    </sheetView>
  </sheetViews>
  <sheetFormatPr defaultColWidth="12.7109375" defaultRowHeight="15.75" customHeight="1"/>
  <cols>
    <col min="1" max="1" width="46.28515625" customWidth="1"/>
    <col min="2" max="3" width="27.7109375" customWidth="1"/>
  </cols>
  <sheetData>
    <row r="1" spans="1:14" ht="15.75" customHeight="1">
      <c r="A1" s="14" t="s">
        <v>97</v>
      </c>
      <c r="B1" s="15" t="str">
        <f ca="1">TEXT(TODAY(),"MMMM D, YYYY")</f>
        <v>March 23, 2026</v>
      </c>
    </row>
    <row r="2" spans="1:14" ht="12.75">
      <c r="A2" s="1" t="s">
        <v>98</v>
      </c>
      <c r="B2" s="1" t="s">
        <v>99</v>
      </c>
      <c r="M2" s="4"/>
    </row>
    <row r="3" spans="1:14" ht="12.75">
      <c r="A3" s="11" t="s">
        <v>100</v>
      </c>
      <c r="B3" s="1"/>
      <c r="M3" s="4"/>
      <c r="N3" s="4"/>
    </row>
    <row r="4" spans="1:14" ht="12.75">
      <c r="A4" s="1" t="s">
        <v>101</v>
      </c>
      <c r="B4" s="10">
        <v>46119</v>
      </c>
      <c r="M4" s="4"/>
    </row>
    <row r="5" spans="1:14" ht="12.75">
      <c r="A5" s="1" t="s">
        <v>102</v>
      </c>
      <c r="B5" s="40">
        <v>46104</v>
      </c>
      <c r="M5" s="4"/>
    </row>
    <row r="6" spans="1:14" ht="12.75">
      <c r="A6" s="1" t="s">
        <v>103</v>
      </c>
      <c r="B6" s="2">
        <v>1947</v>
      </c>
      <c r="M6" s="4"/>
    </row>
    <row r="7" spans="1:14" ht="12.75">
      <c r="A7" s="1" t="s">
        <v>104</v>
      </c>
      <c r="B7" s="1" t="str">
        <f ca="1">IF(B5=TODAY(),"✅ Balance current","⚠️ Balance NOT updated today")</f>
        <v>✅ Balance current</v>
      </c>
    </row>
    <row r="8" spans="1:14" ht="12.75">
      <c r="A8" s="1" t="s">
        <v>105</v>
      </c>
      <c r="B8" s="43">
        <f ca="1">TODAY()-B5</f>
        <v>0</v>
      </c>
    </row>
    <row r="9" spans="1:14" ht="12.75">
      <c r="A9" s="1"/>
      <c r="B9" s="1"/>
    </row>
    <row r="10" spans="1:14" ht="12.75">
      <c r="A10" s="11" t="s">
        <v>106</v>
      </c>
      <c r="B10" s="1"/>
    </row>
    <row r="11" spans="1:14" ht="12.75">
      <c r="A11" s="1" t="s">
        <v>107</v>
      </c>
      <c r="B11" s="1">
        <f ca="1">SUMIFS(Bills!$B$2:$B$13,Bills!$F$2:$F$13,TRUE,Bills!$H$2:$H$13,TRUE)</f>
        <v>1113</v>
      </c>
    </row>
    <row r="12" spans="1:14" ht="12.75">
      <c r="A12" s="5" t="s">
        <v>108</v>
      </c>
      <c r="B12" s="2">
        <v>0</v>
      </c>
    </row>
    <row r="13" spans="1:14" ht="15.75" customHeight="1">
      <c r="A13" s="5" t="s">
        <v>109</v>
      </c>
      <c r="B13">
        <v>0</v>
      </c>
    </row>
    <row r="14" spans="1:14" ht="12.75">
      <c r="A14" t="s">
        <v>110</v>
      </c>
      <c r="B14" s="2">
        <f>Assumptions!B2</f>
        <v>1</v>
      </c>
    </row>
    <row r="15" spans="1:14" ht="12.75">
      <c r="A15" s="5" t="s">
        <v>111</v>
      </c>
      <c r="B15" s="2">
        <f ca="1">B11</f>
        <v>1113</v>
      </c>
    </row>
    <row r="16" spans="1:14" ht="12.75">
      <c r="A16" s="1" t="s">
        <v>112</v>
      </c>
      <c r="B16" s="2">
        <f ca="1">B11+B12+B13+B30+B31+B32+B40</f>
        <v>1272</v>
      </c>
    </row>
    <row r="17" spans="1:2" ht="12.75">
      <c r="A17" s="1"/>
      <c r="B17" s="2"/>
    </row>
    <row r="18" spans="1:2" ht="12.75">
      <c r="A18" s="11" t="s">
        <v>113</v>
      </c>
      <c r="B18" s="2"/>
    </row>
    <row r="19" spans="1:2" ht="12.75">
      <c r="A19" s="1" t="s">
        <v>114</v>
      </c>
      <c r="B19" s="2">
        <f ca="1">MAX(0, B6 - IF(Assumptions!$B$15=TRUE, B16, B16-B33))</f>
        <v>675</v>
      </c>
    </row>
    <row r="20" spans="1:2" ht="12.75"/>
    <row r="21" spans="1:2" ht="12.75">
      <c r="A21" s="1" t="s">
        <v>115</v>
      </c>
      <c r="B21" s="167">
        <f ca="1">IFERROR(IF(B4&lt;=B5,0,MAX(0,(B19-B24)/(B4-B5))),0)</f>
        <v>34.062666666666665</v>
      </c>
    </row>
    <row r="22" spans="1:2" ht="12.75">
      <c r="A22" s="1" t="s">
        <v>116</v>
      </c>
      <c r="B22" s="167">
        <f ca="1">IFERROR(IF($B$4&lt;=TODAY(),0,MAX(0,(B19-B24)/($B$4-TODAY()))),0)</f>
        <v>34.062666666666665</v>
      </c>
    </row>
    <row r="23" spans="1:2" ht="12.75">
      <c r="A23" s="5" t="s">
        <v>117</v>
      </c>
      <c r="B23" s="2">
        <f ca="1">IFERROR(IF(B21=0,"",B19/B21),"")</f>
        <v>19.816416800407094</v>
      </c>
    </row>
    <row r="24" spans="1:2" ht="12.75">
      <c r="A24" s="1" t="s">
        <v>118</v>
      </c>
      <c r="B24" s="9">
        <v>164.06</v>
      </c>
    </row>
    <row r="25" spans="1:2" ht="15.75" customHeight="1">
      <c r="A25" s="6" t="s">
        <v>119</v>
      </c>
      <c r="B25" s="7">
        <f ca="1">MAX(0, B19 - B24)</f>
        <v>510.94</v>
      </c>
    </row>
    <row r="26" spans="1:2" ht="15.75" customHeight="1">
      <c r="A26" s="5" t="s">
        <v>120</v>
      </c>
      <c r="B26" t="str">
        <f>IF(WEEKDAY($B$4,2)&gt;=6,"WEEKEND PAYDAY RISK","")</f>
        <v/>
      </c>
    </row>
    <row r="27" spans="1:2" ht="15.75" customHeight="1">
      <c r="A27" s="5" t="s">
        <v>121</v>
      </c>
      <c r="B27" t="str" cm="1">
        <f t="array" aca="1" ref="B27" ca="1">_xlfn.IFS(B19&lt;=0,"RED",B19&lt;Assumptions!$B$8,"YELLOW",TRUE,"GREEN")</f>
        <v>GREEN</v>
      </c>
    </row>
    <row r="28" spans="1:2" ht="15.75" customHeight="1">
      <c r="A28" s="5"/>
    </row>
    <row r="29" spans="1:2" ht="15.75" customHeight="1">
      <c r="A29" s="11" t="s">
        <v>122</v>
      </c>
    </row>
    <row r="30" spans="1:2" ht="12.75">
      <c r="A30" s="1" t="s">
        <v>123</v>
      </c>
      <c r="B30" s="2">
        <v>0</v>
      </c>
    </row>
    <row r="31" spans="1:2" ht="12.75">
      <c r="A31" s="1" t="s">
        <v>124</v>
      </c>
      <c r="B31" s="1">
        <v>0</v>
      </c>
    </row>
    <row r="32" spans="1:2" ht="12.75">
      <c r="A32" s="1" t="s">
        <v>125</v>
      </c>
      <c r="B32" s="2">
        <v>0</v>
      </c>
    </row>
    <row r="33" spans="1:3" ht="15.75" customHeight="1">
      <c r="A33" s="1" t="s">
        <v>126</v>
      </c>
      <c r="B33" s="27">
        <f>SUMIFS(Bills!$B$2:$B$13,Bills!$F$2:$F$13,TRUE,Bills!$C$2:$C$13,"&gt;="&amp;1,Bills!$C$2:$C$13,"&lt;="&amp;7)+(7*(Assumptions!$B$9/Assumptions!$B$4))</f>
        <v>1251.1578947368421</v>
      </c>
    </row>
    <row r="34" spans="1:3" ht="15.75" customHeight="1">
      <c r="A34" s="12" t="s">
        <v>127</v>
      </c>
      <c r="C34" s="12" t="s">
        <v>60</v>
      </c>
    </row>
    <row r="35" spans="1:3" ht="15.75" customHeight="1">
      <c r="A35" s="1" t="s">
        <v>128</v>
      </c>
      <c r="B35" s="20">
        <v>159</v>
      </c>
      <c r="C35" s="46">
        <v>46109</v>
      </c>
    </row>
    <row r="36" spans="1:3" ht="15.75" customHeight="1">
      <c r="A36" s="1" t="s">
        <v>129</v>
      </c>
      <c r="C36" s="46"/>
    </row>
    <row r="37" spans="1:3" ht="15.75" customHeight="1">
      <c r="A37" s="1" t="s">
        <v>130</v>
      </c>
      <c r="C37" s="46"/>
    </row>
    <row r="38" spans="1:3" ht="15.75" customHeight="1">
      <c r="A38" s="1" t="s">
        <v>131</v>
      </c>
      <c r="C38" s="46"/>
    </row>
    <row r="39" spans="1:3" ht="15.75" customHeight="1">
      <c r="A39" s="1" t="s">
        <v>132</v>
      </c>
      <c r="C39" s="46"/>
    </row>
    <row r="40" spans="1:3" ht="15.75" customHeight="1">
      <c r="A40" s="1" t="s">
        <v>133</v>
      </c>
      <c r="B40" cm="1">
        <f t="array" aca="1" ref="B40" ca="1">SUMPRODUCT((B35:B39)*((C35:C39&gt;=TODAY())*(C35:C39&lt;=$B$4)*(B35:B39&lt;&gt;"")))</f>
        <v>159</v>
      </c>
    </row>
    <row r="42" spans="1:3" ht="15.75" customHeight="1">
      <c r="A42" s="12" t="s">
        <v>134</v>
      </c>
    </row>
    <row r="43" spans="1:3" ht="15.75" customHeight="1">
      <c r="A43" s="1" t="s">
        <v>135</v>
      </c>
      <c r="B43" s="24">
        <f>Assumptions!B9</f>
        <v>600</v>
      </c>
    </row>
    <row r="44" spans="1:3" ht="15.75" customHeight="1">
      <c r="A44" s="1" t="s">
        <v>136</v>
      </c>
      <c r="B44">
        <v>0</v>
      </c>
    </row>
    <row r="45" spans="1:3" ht="15.75" customHeight="1">
      <c r="A45" s="1" t="s">
        <v>137</v>
      </c>
      <c r="B45">
        <v>0</v>
      </c>
    </row>
    <row r="46" spans="1:3" ht="15.75" customHeight="1">
      <c r="A46" s="1" t="s">
        <v>138</v>
      </c>
      <c r="B46">
        <v>0</v>
      </c>
    </row>
    <row r="47" spans="1:3" ht="15.75" customHeight="1">
      <c r="A47" s="1" t="s">
        <v>139</v>
      </c>
      <c r="B47">
        <v>0</v>
      </c>
    </row>
    <row r="48" spans="1:3" ht="15.75" customHeight="1">
      <c r="A48" s="1" t="s">
        <v>140</v>
      </c>
      <c r="B48">
        <v>0</v>
      </c>
    </row>
    <row r="49" spans="1:2" ht="15.75" customHeight="1">
      <c r="A49" s="1" t="s">
        <v>141</v>
      </c>
      <c r="B49">
        <f>SUM(B44:B47)</f>
        <v>0</v>
      </c>
    </row>
    <row r="50" spans="1:2" ht="15.75" customHeight="1">
      <c r="A50" s="1" t="s">
        <v>142</v>
      </c>
      <c r="B50">
        <f>MAX(0,B43-B49)</f>
        <v>600</v>
      </c>
    </row>
    <row r="51" spans="1:2" ht="15.75" customHeight="1">
      <c r="A51" s="1" t="s">
        <v>143</v>
      </c>
      <c r="B51">
        <f>B48</f>
        <v>0</v>
      </c>
    </row>
    <row r="53" spans="1:2" ht="15.75" customHeight="1">
      <c r="A53" s="12" t="s">
        <v>144</v>
      </c>
    </row>
    <row r="54" spans="1:2" ht="15.75" customHeight="1">
      <c r="A54" s="1" t="s">
        <v>145</v>
      </c>
      <c r="B54" s="24">
        <f>Assumptions!B10</f>
        <v>3220</v>
      </c>
    </row>
    <row r="55" spans="1:2" ht="15.75" customHeight="1">
      <c r="A55" s="1" t="s">
        <v>146</v>
      </c>
      <c r="B55" s="27">
        <f ca="1">IFERROR(INDEX(Commissions!$G:$G,MATCH(DATE(YEAR(TODAY()),MONTH(TODAY()),22),Commissions!$H:$H,0)),"")</f>
        <v>51.286462499999992</v>
      </c>
    </row>
    <row r="56" spans="1:2" ht="15.75" customHeight="1">
      <c r="A56" s="1" t="s">
        <v>147</v>
      </c>
      <c r="B56" s="27">
        <f ca="1">B54+IF(B55="",0,B55)</f>
        <v>3271.2864625000002</v>
      </c>
    </row>
    <row r="57" spans="1:2" ht="15.75" customHeight="1">
      <c r="A57" s="1" t="s">
        <v>148</v>
      </c>
      <c r="B57">
        <f>SUMIFS(Bills!$B$2:$B$13,Bills!$F$2:$F$13,TRUE)</f>
        <v>1523.95</v>
      </c>
    </row>
    <row r="58" spans="1:2" ht="15.75" customHeight="1">
      <c r="A58" s="1" t="s">
        <v>149</v>
      </c>
      <c r="B58">
        <f ca="1">MAX(0,ROUND((($B$4-TODAY())/Assumptions!$B$4)*Assumptions!$B$9,2))</f>
        <v>296.05</v>
      </c>
    </row>
    <row r="59" spans="1:2" ht="15.75" customHeight="1">
      <c r="A59" s="1" t="s">
        <v>150</v>
      </c>
      <c r="B59">
        <f>SUM(B35:B39)</f>
        <v>159</v>
      </c>
    </row>
    <row r="60" spans="1:2" ht="15.75" customHeight="1">
      <c r="A60" s="1" t="s">
        <v>151</v>
      </c>
      <c r="B60">
        <f>B51</f>
        <v>0</v>
      </c>
    </row>
    <row r="61" spans="1:2" ht="15.75" customHeight="1">
      <c r="A61" s="1" t="s">
        <v>69</v>
      </c>
      <c r="B61" s="27">
        <f>B33</f>
        <v>1251.1578947368421</v>
      </c>
    </row>
    <row r="62" spans="1:2" ht="15.75" customHeight="1">
      <c r="A62" s="1" t="s">
        <v>152</v>
      </c>
      <c r="B62" s="27">
        <f ca="1">MAX(0,B56-B57-B58-B59-B60-B61)</f>
        <v>41.128567763158117</v>
      </c>
    </row>
    <row r="64" spans="1:2" ht="15.75" customHeight="1">
      <c r="A64" s="191" t="s">
        <v>153</v>
      </c>
      <c r="B64" s="192"/>
    </row>
    <row r="65" spans="1:2" ht="15.75" customHeight="1">
      <c r="A65" s="193" t="s">
        <v>154</v>
      </c>
      <c r="B65" s="193" t="str">
        <f>IF('Retirement Planning'!B6&lt;'Retirement Planning'!B8,"⚠️ YES — $"&amp;TEXT(('Retirement Planning'!B22-'Retirement Planning'!B21)/12,"#,##0")&amp;"/mo uncaptured","✅ Full match captured")</f>
        <v>⚠️ YES — $45/mo uncaptured</v>
      </c>
    </row>
    <row r="66" spans="1:2" ht="15.75" customHeight="1">
      <c r="A66" s="193" t="s">
        <v>155</v>
      </c>
      <c r="B66" s="195">
        <f>IF('Retirement Planning'!B6&lt;'Retirement Planning'!B8,ROUND(('Retirement Planning'!B22-'Retirement Planning'!B21)*(1-Assumptions!B3)/12,0),0)</f>
        <v>25</v>
      </c>
    </row>
    <row r="67" spans="1:2" ht="15.75" customHeight="1">
      <c r="A67" s="193" t="s">
        <v>156</v>
      </c>
      <c r="B67" s="194">
        <f ca="1">MAX(0,B62-B66)</f>
        <v>16.128567763158117</v>
      </c>
    </row>
    <row r="68" spans="1:2" ht="15.75" customHeight="1">
      <c r="A68" s="193" t="s">
        <v>157</v>
      </c>
      <c r="B68" s="193" t="str">
        <f ca="1">IF('Retirement Planning'!B6&gt;='Retirement Planning'!B8,"✅ Already at match cap",IF(B67&gt;0,"✅ YES — savings stay positive",IF(B62&gt;B66,"⚠️ Tight but doable","❌ Not yet — savings would go negative")))</f>
        <v>✅ YES — savings stay positive</v>
      </c>
    </row>
  </sheetData>
  <conditionalFormatting sqref="B7:B8">
    <cfRule type="expression" dxfId="19" priority="5">
      <formula>ISNUMBER(SEARCH("current",B7))</formula>
    </cfRule>
    <cfRule type="expression" dxfId="18" priority="6">
      <formula>ISNUMBER(SEARCH("NOT",B7))</formula>
    </cfRule>
  </conditionalFormatting>
  <conditionalFormatting sqref="B8">
    <cfRule type="cellIs" dxfId="17" priority="18" operator="greaterThan">
      <formula>3</formula>
    </cfRule>
  </conditionalFormatting>
  <conditionalFormatting sqref="B19 B21:B27">
    <cfRule type="cellIs" dxfId="16" priority="1" operator="lessThan">
      <formula>1</formula>
    </cfRule>
    <cfRule type="cellIs" dxfId="15" priority="2" operator="between">
      <formula>1</formula>
      <formula>200</formula>
    </cfRule>
    <cfRule type="cellIs" dxfId="14" priority="3" operator="greaterThan">
      <formula>200</formula>
    </cfRule>
  </conditionalFormatting>
  <conditionalFormatting sqref="B19">
    <cfRule type="expression" dxfId="13" priority="4">
      <formula>B19&gt;500</formula>
    </cfRule>
    <cfRule type="expression" dxfId="12" priority="7">
      <formula>AND(B19&gt;=100,B19&lt;=500)</formula>
    </cfRule>
    <cfRule type="expression" dxfId="11" priority="8">
      <formula>B19&lt;100</formula>
    </cfRule>
  </conditionalFormatting>
  <conditionalFormatting sqref="B26">
    <cfRule type="expression" dxfId="10" priority="9">
      <formula>B26&lt;&gt;""</formula>
    </cfRule>
  </conditionalFormatting>
  <conditionalFormatting sqref="B27">
    <cfRule type="expression" dxfId="9" priority="10">
      <formula>B27="GREEN"</formula>
    </cfRule>
    <cfRule type="expression" dxfId="8" priority="11">
      <formula>B27="YELLOW"</formula>
    </cfRule>
    <cfRule type="expression" dxfId="7" priority="12">
      <formula>B27="RED"</formula>
    </cfRule>
  </conditionalFormatting>
  <conditionalFormatting sqref="B33">
    <cfRule type="expression" dxfId="6" priority="13">
      <formula>TRUE</formula>
    </cfRule>
  </conditionalFormatting>
  <conditionalFormatting sqref="B50">
    <cfRule type="expression" dxfId="5" priority="16">
      <formula>B50=0</formula>
    </cfRule>
    <cfRule type="expression" dxfId="4" priority="17">
      <formula>AND(B50&gt;0,B50&lt;100)</formula>
    </cfRule>
  </conditionalFormatting>
  <conditionalFormatting sqref="B62">
    <cfRule type="expression" dxfId="3" priority="14">
      <formula>B62&gt;0</formula>
    </cfRule>
    <cfRule type="expression" dxfId="2" priority="15">
      <formula>B62&lt;=0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9A83-75E5-4D95-8D9F-FFE75A494C94}">
  <dimension ref="A1:J191"/>
  <sheetViews>
    <sheetView zoomScale="93" workbookViewId="0">
      <selection activeCell="B15" sqref="B15"/>
    </sheetView>
  </sheetViews>
  <sheetFormatPr defaultRowHeight="12.75"/>
  <cols>
    <col min="1" max="1" width="34.28515625" style="8" customWidth="1"/>
    <col min="2" max="3" width="18.5703125" style="8" customWidth="1"/>
    <col min="4" max="5" width="18.5703125" customWidth="1"/>
    <col min="6" max="6" width="20" customWidth="1"/>
    <col min="7" max="7" width="18.5703125" customWidth="1"/>
    <col min="8" max="8" width="19.42578125" customWidth="1"/>
    <col min="10" max="10" width="8.85546875" style="8"/>
  </cols>
  <sheetData>
    <row r="1" spans="1:10" ht="22.15" customHeight="1">
      <c r="A1" s="52" t="s">
        <v>158</v>
      </c>
      <c r="B1" s="50"/>
      <c r="C1" s="50"/>
      <c r="D1" s="50"/>
      <c r="E1" s="50"/>
      <c r="F1" s="50"/>
      <c r="G1" s="50"/>
      <c r="H1" s="50"/>
    </row>
    <row r="2" spans="1:10" ht="16.149999999999999" customHeight="1">
      <c r="A2" s="53" t="s">
        <v>159</v>
      </c>
      <c r="B2" s="50"/>
      <c r="C2" s="50"/>
      <c r="D2" s="50"/>
      <c r="E2" s="50"/>
      <c r="F2" s="50"/>
      <c r="G2" s="50"/>
      <c r="H2" s="50"/>
      <c r="J2"/>
    </row>
    <row r="3" spans="1:10" ht="7.9" customHeight="1">
      <c r="A3" s="50"/>
      <c r="B3" s="50"/>
      <c r="C3" s="50"/>
      <c r="D3" s="50"/>
      <c r="E3" s="50"/>
      <c r="F3" s="50"/>
      <c r="G3" s="50"/>
      <c r="H3" s="50"/>
      <c r="J3"/>
    </row>
    <row r="4" spans="1:10" ht="18" customHeight="1">
      <c r="A4" s="54" t="s">
        <v>160</v>
      </c>
      <c r="B4" s="55"/>
      <c r="C4" s="55"/>
      <c r="D4" s="55"/>
      <c r="E4" s="55"/>
      <c r="F4" s="50"/>
      <c r="G4" s="50"/>
      <c r="H4" s="50"/>
      <c r="J4"/>
    </row>
    <row r="5" spans="1:10" ht="16.149999999999999" customHeight="1">
      <c r="A5" s="56" t="s">
        <v>161</v>
      </c>
      <c r="B5" s="57">
        <f>Assumptions!B6</f>
        <v>700</v>
      </c>
      <c r="C5" s="50"/>
      <c r="D5" s="56" t="s">
        <v>162</v>
      </c>
      <c r="E5" s="57">
        <f>Assumptions!B7</f>
        <v>6000</v>
      </c>
      <c r="F5" s="50"/>
      <c r="G5" s="50"/>
      <c r="H5" s="50"/>
      <c r="J5"/>
    </row>
    <row r="6" spans="1:10" ht="16.149999999999999" customHeight="1">
      <c r="A6" s="56" t="s">
        <v>163</v>
      </c>
      <c r="B6" s="58">
        <v>1424.02</v>
      </c>
      <c r="C6" s="50"/>
      <c r="D6" s="56" t="s">
        <v>164</v>
      </c>
      <c r="E6" s="58">
        <v>611.95000000000005</v>
      </c>
      <c r="F6" s="50"/>
      <c r="G6" s="50"/>
      <c r="H6" s="50"/>
      <c r="J6"/>
    </row>
    <row r="7" spans="1:10" ht="16.149999999999999" customHeight="1">
      <c r="A7" s="56" t="s">
        <v>165</v>
      </c>
      <c r="B7" s="59">
        <v>0.65</v>
      </c>
      <c r="C7" s="50"/>
      <c r="D7" s="56" t="s">
        <v>166</v>
      </c>
      <c r="E7" s="61">
        <v>4.2000000000000003E-2</v>
      </c>
      <c r="F7" s="50"/>
      <c r="G7" s="50"/>
      <c r="H7" s="50"/>
      <c r="J7"/>
    </row>
    <row r="8" spans="1:10" ht="16.149999999999999" customHeight="1">
      <c r="A8" s="56" t="s">
        <v>167</v>
      </c>
      <c r="B8" s="60">
        <f>Assumptions!B3</f>
        <v>0.435</v>
      </c>
      <c r="C8" s="50"/>
      <c r="D8" s="50"/>
      <c r="E8" s="50"/>
      <c r="F8" s="50"/>
      <c r="G8" s="50"/>
      <c r="H8" s="50"/>
      <c r="J8"/>
    </row>
    <row r="9" spans="1:10" ht="7.9" customHeight="1">
      <c r="A9" s="50"/>
      <c r="B9" s="50"/>
      <c r="C9" s="50"/>
      <c r="D9" s="50"/>
      <c r="E9" s="50"/>
      <c r="F9" s="50"/>
      <c r="G9" s="50"/>
      <c r="H9" s="50"/>
      <c r="J9"/>
    </row>
    <row r="10" spans="1:10" ht="22.15" customHeight="1">
      <c r="A10" s="63" t="s">
        <v>168</v>
      </c>
      <c r="B10" s="63" t="s">
        <v>169</v>
      </c>
      <c r="C10" s="63" t="s">
        <v>170</v>
      </c>
      <c r="D10" s="63" t="s">
        <v>171</v>
      </c>
      <c r="E10" s="63" t="s">
        <v>172</v>
      </c>
      <c r="F10" s="63" t="s">
        <v>173</v>
      </c>
      <c r="G10" s="63" t="s">
        <v>174</v>
      </c>
      <c r="H10" s="63" t="s">
        <v>175</v>
      </c>
      <c r="J10"/>
    </row>
    <row r="11" spans="1:10" ht="19.899999999999999" customHeight="1">
      <c r="A11" s="64">
        <v>45992</v>
      </c>
      <c r="B11" s="65">
        <v>890</v>
      </c>
      <c r="C11" s="65">
        <v>0</v>
      </c>
      <c r="D11" s="66">
        <f>IF($A11="","",IF(OR($B11="",$B11=0),0,MAX(0,MIN($B11,349.93)-0)*0.3705+MAX(0,MIN($B11,489.93)-349.93)*0.9634+MAX(0,MIN($B11,Assumptions!$B$6-0.07)-489.93)*5.5212+MAX(0,$B11-(Assumptions!$B$6-0.07))*0.65))</f>
        <v>1547.5225649999998</v>
      </c>
      <c r="E11" s="66">
        <f>IF($A11="","",IF(OR($C11="",$C11=0),0,MAX(0,MIN($C11,2999.4)-0)*0.0204+MAX(0,MIN($C11,4199.4)-2999.4)*0.0388+MAX(0,MIN($C11,Assumptions!$B$7-0.6)-4199.4)*0.2801+MAX(0,$C11-(Assumptions!$B$7-0.6))*0.042))</f>
        <v>0</v>
      </c>
      <c r="F11" s="66">
        <f>IF($A11="","",D11+E11)</f>
        <v>1547.5225649999998</v>
      </c>
      <c r="G11" s="66">
        <f>IF($A11="","",F11*(1-$B$8))</f>
        <v>874.35024922499974</v>
      </c>
      <c r="H11" s="67">
        <f>IF($A11="","",DATE(YEAR($A11),MONTH($A11)+1,Assumptions!$B$5))</f>
        <v>46044</v>
      </c>
      <c r="J11"/>
    </row>
    <row r="12" spans="1:10" ht="19.899999999999999" customHeight="1">
      <c r="A12" s="68">
        <v>46023</v>
      </c>
      <c r="B12" s="69">
        <v>0</v>
      </c>
      <c r="C12" s="69">
        <v>0</v>
      </c>
      <c r="D12" s="70">
        <f>IF($A12="","",IF(OR($B12="",$B12=0),0,MAX(0,MIN($B12,349.93)-0)*0.3705+MAX(0,MIN($B12,489.93)-349.93)*0.9634+MAX(0,MIN($B12,Assumptions!$B$6-0.07)-489.93)*5.5212+MAX(0,$B12-(Assumptions!$B$6-0.07))*0.65))</f>
        <v>0</v>
      </c>
      <c r="E12" s="70">
        <f>IF($A12="","",IF(OR($C12="",$C12=0),0,MAX(0,MIN($C12,2999.4)-0)*0.0204+MAX(0,MIN($C12,4199.4)-2999.4)*0.0388+MAX(0,MIN($C12,Assumptions!$B$7-0.6)-4199.4)*0.2801+MAX(0,$C12-(Assumptions!$B$7-0.6))*0.042))</f>
        <v>0</v>
      </c>
      <c r="F12" s="70">
        <f t="shared" ref="F12:F22" si="0">IF($A12="","",D12+E12)</f>
        <v>0</v>
      </c>
      <c r="G12" s="70">
        <f t="shared" ref="G12:G22" si="1">IF($A12="","",F12*(1-$B$8))</f>
        <v>0</v>
      </c>
      <c r="H12" s="71">
        <f>IF($A12="","",DATE(YEAR($A12),MONTH($A12)+1,Assumptions!$B$5))</f>
        <v>46075</v>
      </c>
      <c r="J12"/>
    </row>
    <row r="13" spans="1:10" ht="19.899999999999999" customHeight="1">
      <c r="A13" s="68">
        <v>46054</v>
      </c>
      <c r="B13" s="69">
        <v>245</v>
      </c>
      <c r="C13" s="69">
        <v>0</v>
      </c>
      <c r="D13" s="70">
        <f>IF($A13="","",IF(OR($B13="",$B13=0),0,MAX(0,MIN($B13,349.93)-0)*0.3705+MAX(0,MIN($B13,489.93)-349.93)*0.9634+MAX(0,MIN($B13,Assumptions!$B$6-0.07)-489.93)*5.5212+MAX(0,$B13-(Assumptions!$B$6-0.07))*0.65))</f>
        <v>90.772499999999994</v>
      </c>
      <c r="E13" s="70">
        <f>IF($A13="","",IF(OR($C13="",$C13=0),0,MAX(0,MIN($C13,2999.4)-0)*0.0204+MAX(0,MIN($C13,4199.4)-2999.4)*0.0388+MAX(0,MIN($C13,Assumptions!$B$7-0.6)-4199.4)*0.2801+MAX(0,$C13-(Assumptions!$B$7-0.6))*0.042))</f>
        <v>0</v>
      </c>
      <c r="F13" s="70">
        <f t="shared" si="0"/>
        <v>90.772499999999994</v>
      </c>
      <c r="G13" s="70">
        <f t="shared" si="1"/>
        <v>51.286462499999992</v>
      </c>
      <c r="H13" s="71">
        <f>IF($A13="","",DATE(YEAR($A13),MONTH($A13)+1,Assumptions!$B$5))</f>
        <v>46103</v>
      </c>
    </row>
    <row r="14" spans="1:10" ht="19.899999999999999" customHeight="1">
      <c r="A14" s="68">
        <v>46082</v>
      </c>
      <c r="B14" s="69">
        <v>500</v>
      </c>
      <c r="C14" s="69">
        <v>3000</v>
      </c>
      <c r="D14" s="70">
        <f>IF($A14="","",IF(OR($B14="",$B14=0),0,MAX(0,MIN($B14,349.93)-0)*0.3705+MAX(0,MIN($B14,489.93)-349.93)*0.9634+MAX(0,MIN($B14,Assumptions!$B$6-0.07)-489.93)*5.5212+MAX(0,$B14-(Assumptions!$B$6-0.07))*0.65))</f>
        <v>320.12354900000003</v>
      </c>
      <c r="E14" s="70">
        <f>IF($A14="","",IF(OR($C14="",$C14=0),0,MAX(0,MIN($C14,2999.4)-0)*0.0204+MAX(0,MIN($C14,4199.4)-2999.4)*0.0388+MAX(0,MIN($C14,Assumptions!$B$7-0.6)-4199.4)*0.2801+MAX(0,$C14-(Assumptions!$B$7-0.6))*0.042))</f>
        <v>61.211040000000004</v>
      </c>
      <c r="F14" s="70">
        <f t="shared" si="0"/>
        <v>381.33458900000005</v>
      </c>
      <c r="G14" s="70">
        <f t="shared" si="1"/>
        <v>215.45404278500001</v>
      </c>
      <c r="H14" s="71">
        <f>IF($A14="","",DATE(YEAR($A14),MONTH($A14)+1,Assumptions!$B$5))</f>
        <v>46134</v>
      </c>
    </row>
    <row r="15" spans="1:10" ht="19.899999999999999" customHeight="1">
      <c r="A15" s="68"/>
      <c r="B15" s="69"/>
      <c r="C15" s="69"/>
      <c r="D15" s="70" t="str">
        <f>IF($A15="","",IF(OR($B15="",$B15=0),0,MAX(0,MIN($B15,349.93)-0)*0.3705+MAX(0,MIN($B15,489.93)-349.93)*0.9634+MAX(0,MIN($B15,Assumptions!$B$6-0.07)-489.93)*5.5212+MAX(0,$B15-(Assumptions!$B$6-0.07))*0.65))</f>
        <v/>
      </c>
      <c r="E15" s="70" t="str">
        <f>IF($A15="","",IF(OR($C15="",$C15=0),0,MAX(0,MIN($C15,2999.4)-0)*0.0204+MAX(0,MIN($C15,4199.4)-2999.4)*0.0388+MAX(0,MIN($C15,Assumptions!$B$7-0.6)-4199.4)*0.2801+MAX(0,$C15-(Assumptions!$B$7-0.6))*0.042))</f>
        <v/>
      </c>
      <c r="F15" s="70" t="str">
        <f t="shared" si="0"/>
        <v/>
      </c>
      <c r="G15" s="70" t="str">
        <f t="shared" si="1"/>
        <v/>
      </c>
      <c r="H15" s="71" t="str">
        <f>IF($A15="","",DATE(YEAR($A15),MONTH($A15)+1,Assumptions!$B$5))</f>
        <v/>
      </c>
    </row>
    <row r="16" spans="1:10" ht="19.899999999999999" customHeight="1">
      <c r="A16" s="68"/>
      <c r="B16" s="69"/>
      <c r="C16" s="69"/>
      <c r="D16" s="70" t="str">
        <f>IF($A16="","",IF(OR($B16="",$B16=0),0,MAX(0,MIN($B16,349.93)-0)*0.3705+MAX(0,MIN($B16,489.93)-349.93)*0.9634+MAX(0,MIN($B16,Assumptions!$B$6-0.07)-489.93)*5.5212+MAX(0,$B16-(Assumptions!$B$6-0.07))*0.65))</f>
        <v/>
      </c>
      <c r="E16" s="70" t="str">
        <f>IF($A16="","",IF(OR($C16="",$C16=0),0,MAX(0,MIN($C16,2999.4)-0)*0.0204+MAX(0,MIN($C16,4199.4)-2999.4)*0.0388+MAX(0,MIN($C16,Assumptions!$B$7-0.6)-4199.4)*0.2801+MAX(0,$C16-(Assumptions!$B$7-0.6))*0.042))</f>
        <v/>
      </c>
      <c r="F16" s="70" t="str">
        <f t="shared" si="0"/>
        <v/>
      </c>
      <c r="G16" s="70" t="str">
        <f t="shared" si="1"/>
        <v/>
      </c>
      <c r="H16" s="71" t="str">
        <f>IF($A16="","",DATE(YEAR($A16),MONTH($A16)+1,Assumptions!$B$5))</f>
        <v/>
      </c>
    </row>
    <row r="17" spans="1:8" ht="19.899999999999999" customHeight="1">
      <c r="A17" s="68"/>
      <c r="B17" s="69"/>
      <c r="C17" s="69"/>
      <c r="D17" s="70" t="str">
        <f>IF($A17="","",IF(OR($B17="",$B17=0),0,MAX(0,MIN($B17,349.93)-0)*0.3705+MAX(0,MIN($B17,489.93)-349.93)*0.9634+MAX(0,MIN($B17,Assumptions!$B$6-0.07)-489.93)*5.5212+MAX(0,$B17-(Assumptions!$B$6-0.07))*0.65))</f>
        <v/>
      </c>
      <c r="E17" s="70" t="str">
        <f>IF($A17="","",IF(OR($C17="",$C17=0),0,MAX(0,MIN($C17,2999.4)-0)*0.0204+MAX(0,MIN($C17,4199.4)-2999.4)*0.0388+MAX(0,MIN($C17,Assumptions!$B$7-0.6)-4199.4)*0.2801+MAX(0,$C17-(Assumptions!$B$7-0.6))*0.042))</f>
        <v/>
      </c>
      <c r="F17" s="70" t="str">
        <f t="shared" si="0"/>
        <v/>
      </c>
      <c r="G17" s="70" t="str">
        <f t="shared" si="1"/>
        <v/>
      </c>
      <c r="H17" s="71" t="str">
        <f>IF($A17="","",DATE(YEAR($A17),MONTH($A17)+1,Assumptions!$B$5))</f>
        <v/>
      </c>
    </row>
    <row r="18" spans="1:8" ht="19.899999999999999" customHeight="1">
      <c r="A18" s="68"/>
      <c r="B18" s="69"/>
      <c r="C18" s="69"/>
      <c r="D18" s="70" t="str">
        <f>IF($A18="","",IF(OR($B18="",$B18=0),0,MAX(0,MIN($B18,349.93)-0)*0.3705+MAX(0,MIN($B18,489.93)-349.93)*0.9634+MAX(0,MIN($B18,Assumptions!$B$6-0.07)-489.93)*5.5212+MAX(0,$B18-(Assumptions!$B$6-0.07))*0.65))</f>
        <v/>
      </c>
      <c r="E18" s="70" t="str">
        <f>IF($A18="","",IF(OR($C18="",$C18=0),0,MAX(0,MIN($C18,2999.4)-0)*0.0204+MAX(0,MIN($C18,4199.4)-2999.4)*0.0388+MAX(0,MIN($C18,Assumptions!$B$7-0.6)-4199.4)*0.2801+MAX(0,$C18-(Assumptions!$B$7-0.6))*0.042))</f>
        <v/>
      </c>
      <c r="F18" s="70" t="str">
        <f t="shared" si="0"/>
        <v/>
      </c>
      <c r="G18" s="70" t="str">
        <f t="shared" si="1"/>
        <v/>
      </c>
      <c r="H18" s="71" t="str">
        <f>IF($A18="","",DATE(YEAR($A18),MONTH($A18)+1,Assumptions!$B$5))</f>
        <v/>
      </c>
    </row>
    <row r="19" spans="1:8" ht="19.899999999999999" customHeight="1">
      <c r="A19" s="68"/>
      <c r="B19" s="69"/>
      <c r="C19" s="69"/>
      <c r="D19" s="70" t="str">
        <f>IF($A19="","",IF(OR($B19="",$B19=0),0,MAX(0,MIN($B19,349.93)-0)*0.3705+MAX(0,MIN($B19,489.93)-349.93)*0.9634+MAX(0,MIN($B19,Assumptions!$B$6-0.07)-489.93)*5.5212+MAX(0,$B19-(Assumptions!$B$6-0.07))*0.65))</f>
        <v/>
      </c>
      <c r="E19" s="70" t="str">
        <f>IF($A19="","",IF(OR($C19="",$C19=0),0,MAX(0,MIN($C19,2999.4)-0)*0.0204+MAX(0,MIN($C19,4199.4)-2999.4)*0.0388+MAX(0,MIN($C19,Assumptions!$B$7-0.6)-4199.4)*0.2801+MAX(0,$C19-(Assumptions!$B$7-0.6))*0.042))</f>
        <v/>
      </c>
      <c r="F19" s="70" t="str">
        <f t="shared" si="0"/>
        <v/>
      </c>
      <c r="G19" s="70" t="str">
        <f t="shared" si="1"/>
        <v/>
      </c>
      <c r="H19" s="71" t="str">
        <f>IF($A19="","",DATE(YEAR($A19),MONTH($A19)+1,Assumptions!$B$5))</f>
        <v/>
      </c>
    </row>
    <row r="20" spans="1:8" ht="19.899999999999999" customHeight="1">
      <c r="A20" s="68"/>
      <c r="B20" s="69"/>
      <c r="C20" s="69"/>
      <c r="D20" s="70" t="str">
        <f>IF($A20="","",IF(OR($B20="",$B20=0),0,MAX(0,MIN($B20,349.93)-0)*0.3705+MAX(0,MIN($B20,489.93)-349.93)*0.9634+MAX(0,MIN($B20,Assumptions!$B$6-0.07)-489.93)*5.5212+MAX(0,$B20-(Assumptions!$B$6-0.07))*0.65))</f>
        <v/>
      </c>
      <c r="E20" s="70" t="str">
        <f>IF($A20="","",IF(OR($C20="",$C20=0),0,MAX(0,MIN($C20,2999.4)-0)*0.0204+MAX(0,MIN($C20,4199.4)-2999.4)*0.0388+MAX(0,MIN($C20,Assumptions!$B$7-0.6)-4199.4)*0.2801+MAX(0,$C20-(Assumptions!$B$7-0.6))*0.042))</f>
        <v/>
      </c>
      <c r="F20" s="70" t="str">
        <f t="shared" si="0"/>
        <v/>
      </c>
      <c r="G20" s="70" t="str">
        <f t="shared" si="1"/>
        <v/>
      </c>
      <c r="H20" s="71" t="str">
        <f>IF($A20="","",DATE(YEAR($A20),MONTH($A20)+1,Assumptions!$B$5))</f>
        <v/>
      </c>
    </row>
    <row r="21" spans="1:8" ht="19.899999999999999" customHeight="1">
      <c r="A21" s="68"/>
      <c r="B21" s="69"/>
      <c r="C21" s="69"/>
      <c r="D21" s="70" t="str">
        <f>IF($A21="","",IF(OR($B21="",$B21=0),0,MAX(0,MIN($B21,349.93)-0)*0.3705+MAX(0,MIN($B21,489.93)-349.93)*0.9634+MAX(0,MIN($B21,Assumptions!$B$6-0.07)-489.93)*5.5212+MAX(0,$B21-(Assumptions!$B$6-0.07))*0.65))</f>
        <v/>
      </c>
      <c r="E21" s="70" t="str">
        <f>IF($A21="","",IF(OR($C21="",$C21=0),0,MAX(0,MIN($C21,2999.4)-0)*0.0204+MAX(0,MIN($C21,4199.4)-2999.4)*0.0388+MAX(0,MIN($C21,Assumptions!$B$7-0.6)-4199.4)*0.2801+MAX(0,$C21-(Assumptions!$B$7-0.6))*0.042))</f>
        <v/>
      </c>
      <c r="F21" s="70" t="str">
        <f t="shared" si="0"/>
        <v/>
      </c>
      <c r="G21" s="70" t="str">
        <f t="shared" si="1"/>
        <v/>
      </c>
      <c r="H21" s="71" t="str">
        <f>IF($A21="","",DATE(YEAR($A21),MONTH($A21)+1,Assumptions!$B$5))</f>
        <v/>
      </c>
    </row>
    <row r="22" spans="1:8" ht="19.899999999999999" customHeight="1">
      <c r="A22" s="72"/>
      <c r="B22" s="73"/>
      <c r="C22" s="73"/>
      <c r="D22" s="74" t="str">
        <f>IF($A22="","",IF(OR($B22="",$B22=0),0,MAX(0,MIN($B22,349.93)-0)*0.3705+MAX(0,MIN($B22,489.93)-349.93)*0.9634+MAX(0,MIN($B22,Assumptions!$B$6-0.07)-489.93)*5.5212+MAX(0,$B22-(Assumptions!$B$6-0.07))*0.65))</f>
        <v/>
      </c>
      <c r="E22" s="74" t="str">
        <f>IF($A22="","",IF(OR($C22="",$C22=0),0,MAX(0,MIN($C22,2999.4)-0)*0.0204+MAX(0,MIN($C22,4199.4)-2999.4)*0.0388+MAX(0,MIN($C22,Assumptions!$B$7-0.6)-4199.4)*0.2801+MAX(0,$C22-(Assumptions!$B$7-0.6))*0.042))</f>
        <v/>
      </c>
      <c r="F22" s="74" t="str">
        <f t="shared" si="0"/>
        <v/>
      </c>
      <c r="G22" s="74" t="str">
        <f t="shared" si="1"/>
        <v/>
      </c>
      <c r="H22" s="75" t="str">
        <f>IF($A22="","",DATE(YEAR($A22),MONTH($A22)+1,Assumptions!$B$5))</f>
        <v/>
      </c>
    </row>
    <row r="23" spans="1:8" ht="7.9" customHeight="1">
      <c r="A23" s="51"/>
      <c r="B23" s="51"/>
      <c r="C23" s="51"/>
      <c r="D23" s="50"/>
      <c r="E23" s="50"/>
      <c r="F23" s="50"/>
      <c r="G23" s="50"/>
      <c r="H23" s="50"/>
    </row>
    <row r="24" spans="1:8" ht="18" customHeight="1">
      <c r="A24" s="76" t="s">
        <v>176</v>
      </c>
      <c r="B24" s="77"/>
      <c r="C24" s="51"/>
      <c r="D24" s="50"/>
      <c r="E24" s="50"/>
      <c r="F24" s="50"/>
      <c r="G24" s="50"/>
      <c r="H24" s="50"/>
    </row>
    <row r="25" spans="1:8" ht="19.899999999999999" customHeight="1">
      <c r="A25" s="78" t="s">
        <v>177</v>
      </c>
      <c r="B25" s="79" cm="1">
        <f t="array" ref="B25">IFERROR(AVERAGE(_xlfn._xlws.FILTER(G11:G22,(A11:A22&lt;&gt;"")*(ISNUMBER(G11:G22)))),0)</f>
        <v>285.27268862749992</v>
      </c>
      <c r="C25" s="51"/>
      <c r="D25" s="50"/>
      <c r="E25" s="50"/>
      <c r="F25" s="50"/>
      <c r="G25" s="50"/>
      <c r="H25" s="50"/>
    </row>
    <row r="26" spans="1:8" ht="19.899999999999999" customHeight="1">
      <c r="A26" s="78" t="s">
        <v>178</v>
      </c>
      <c r="B26" s="51" t="str" cm="1">
        <f t="array" ref="B26">IF(SUMPRODUCT((A11:A22&lt;&gt;"")*(IF(ISNUMBER(G11:G22),G11:G22&lt;50,FALSE)))&gt;=2,"⚠️ DROUGHT RISK","✅ OK")</f>
        <v>✅ OK</v>
      </c>
      <c r="C26" s="51"/>
      <c r="D26" s="50"/>
      <c r="E26" s="50"/>
      <c r="F26" s="50"/>
      <c r="G26" s="50"/>
      <c r="H26" s="50"/>
    </row>
    <row r="27" spans="1:8" ht="19.899999999999999" customHeight="1">
      <c r="A27" s="78" t="s">
        <v>179</v>
      </c>
      <c r="B27" s="79" cm="1">
        <f t="array" aca="1" ref="B27" ca="1">SUMPRODUCT((A11:A22&lt;&gt;"")*(A11:A22&gt;=DATE(YEAR(TODAY()),1,1))*(A11:A22&lt;=DATE(YEAR(TODAY()),12,31))*IF(ISNUMBER(G11:G22),G11:G22,0))</f>
        <v>266.74050528499998</v>
      </c>
      <c r="C27" s="51"/>
      <c r="D27" s="50"/>
      <c r="E27" s="50"/>
      <c r="F27" s="50"/>
      <c r="G27" s="50"/>
      <c r="H27" s="50"/>
    </row>
    <row r="28" spans="1:8">
      <c r="A28"/>
      <c r="B28"/>
      <c r="C28"/>
    </row>
    <row r="29" spans="1:8">
      <c r="A29"/>
      <c r="B29"/>
      <c r="C29"/>
    </row>
    <row r="30" spans="1:8">
      <c r="A30"/>
      <c r="B30"/>
      <c r="C30"/>
    </row>
    <row r="31" spans="1:8">
      <c r="A31"/>
      <c r="B31"/>
      <c r="C31"/>
    </row>
    <row r="32" spans="1:8">
      <c r="A32"/>
      <c r="B32"/>
      <c r="C32"/>
    </row>
    <row r="33" spans="1:3">
      <c r="A33"/>
      <c r="B33"/>
      <c r="C33"/>
    </row>
    <row r="34" spans="1:3">
      <c r="A34"/>
      <c r="B34"/>
      <c r="C34"/>
    </row>
    <row r="35" spans="1:3">
      <c r="A35"/>
      <c r="B35"/>
      <c r="C35"/>
    </row>
    <row r="36" spans="1:3">
      <c r="A36"/>
      <c r="B36"/>
      <c r="C36"/>
    </row>
    <row r="37" spans="1:3">
      <c r="A37"/>
      <c r="B37"/>
      <c r="C37"/>
    </row>
    <row r="38" spans="1:3">
      <c r="A38"/>
      <c r="B38"/>
      <c r="C38"/>
    </row>
    <row r="39" spans="1:3">
      <c r="A39"/>
      <c r="B39"/>
      <c r="C39"/>
    </row>
    <row r="40" spans="1:3">
      <c r="A40"/>
      <c r="B40"/>
      <c r="C40"/>
    </row>
    <row r="41" spans="1:3">
      <c r="A41"/>
      <c r="B41"/>
      <c r="C41"/>
    </row>
    <row r="42" spans="1:3">
      <c r="A42"/>
      <c r="B42"/>
      <c r="C42"/>
    </row>
    <row r="43" spans="1:3">
      <c r="A43"/>
      <c r="B43"/>
      <c r="C43"/>
    </row>
    <row r="44" spans="1:3">
      <c r="A44"/>
      <c r="B44"/>
      <c r="C44"/>
    </row>
    <row r="45" spans="1:3">
      <c r="A45"/>
      <c r="B45"/>
      <c r="C45"/>
    </row>
    <row r="46" spans="1:3">
      <c r="A46"/>
      <c r="B46"/>
      <c r="C46"/>
    </row>
    <row r="47" spans="1:3">
      <c r="A47"/>
      <c r="B47"/>
      <c r="C47"/>
    </row>
    <row r="48" spans="1:3">
      <c r="A48"/>
      <c r="B48"/>
      <c r="C48"/>
    </row>
    <row r="49" spans="1:6">
      <c r="A49"/>
      <c r="B49"/>
      <c r="C49"/>
    </row>
    <row r="50" spans="1:6">
      <c r="A50"/>
      <c r="B50"/>
      <c r="C50"/>
    </row>
    <row r="51" spans="1:6">
      <c r="F51" s="4"/>
    </row>
    <row r="52" spans="1:6">
      <c r="F52" s="4"/>
    </row>
    <row r="53" spans="1:6">
      <c r="F53" s="4"/>
    </row>
    <row r="54" spans="1:6">
      <c r="F54" s="4"/>
    </row>
    <row r="55" spans="1:6">
      <c r="F55" s="4"/>
    </row>
    <row r="56" spans="1:6">
      <c r="F56" s="4"/>
    </row>
    <row r="57" spans="1:6">
      <c r="F57" s="4"/>
    </row>
    <row r="58" spans="1:6">
      <c r="F58" s="4"/>
    </row>
    <row r="59" spans="1:6">
      <c r="F59" s="4"/>
    </row>
    <row r="60" spans="1:6">
      <c r="F60" s="4"/>
    </row>
    <row r="61" spans="1:6">
      <c r="F61" s="4"/>
    </row>
    <row r="62" spans="1:6">
      <c r="F62" s="4"/>
    </row>
    <row r="63" spans="1:6">
      <c r="F63" s="4"/>
    </row>
    <row r="64" spans="1:6">
      <c r="F64" s="4"/>
    </row>
    <row r="65" spans="6:6">
      <c r="F65" s="4"/>
    </row>
    <row r="66" spans="6:6">
      <c r="F66" s="4"/>
    </row>
    <row r="67" spans="6:6">
      <c r="F67" s="4"/>
    </row>
    <row r="68" spans="6:6">
      <c r="F68" s="4"/>
    </row>
    <row r="69" spans="6:6">
      <c r="F69" s="4"/>
    </row>
    <row r="70" spans="6:6">
      <c r="F70" s="4"/>
    </row>
    <row r="71" spans="6:6">
      <c r="F71" s="4"/>
    </row>
    <row r="72" spans="6:6">
      <c r="F72" s="4"/>
    </row>
    <row r="73" spans="6:6">
      <c r="F73" s="4"/>
    </row>
    <row r="74" spans="6:6">
      <c r="F74" s="4"/>
    </row>
    <row r="75" spans="6:6">
      <c r="F75" s="4"/>
    </row>
    <row r="76" spans="6:6">
      <c r="F76" s="4"/>
    </row>
    <row r="77" spans="6:6">
      <c r="F77" s="4"/>
    </row>
    <row r="78" spans="6:6">
      <c r="F78" s="4"/>
    </row>
    <row r="79" spans="6:6">
      <c r="F79" s="4"/>
    </row>
    <row r="80" spans="6:6">
      <c r="F80" s="4"/>
    </row>
    <row r="81" spans="6:6">
      <c r="F81" s="4"/>
    </row>
    <row r="82" spans="6:6">
      <c r="F82" s="4"/>
    </row>
    <row r="83" spans="6:6">
      <c r="F83" s="4"/>
    </row>
    <row r="84" spans="6:6">
      <c r="F84" s="4"/>
    </row>
    <row r="85" spans="6:6">
      <c r="F85" s="4"/>
    </row>
    <row r="86" spans="6:6">
      <c r="F86" s="4"/>
    </row>
    <row r="87" spans="6:6">
      <c r="F87" s="4"/>
    </row>
    <row r="88" spans="6:6">
      <c r="F88" s="4"/>
    </row>
    <row r="89" spans="6:6">
      <c r="F89" s="4"/>
    </row>
    <row r="90" spans="6:6">
      <c r="F90" s="4"/>
    </row>
    <row r="91" spans="6:6">
      <c r="F91" s="4"/>
    </row>
    <row r="92" spans="6:6">
      <c r="F92" s="4"/>
    </row>
    <row r="93" spans="6:6">
      <c r="F93" s="4"/>
    </row>
    <row r="94" spans="6:6">
      <c r="F94" s="4"/>
    </row>
    <row r="95" spans="6:6">
      <c r="F95" s="4"/>
    </row>
    <row r="96" spans="6:6">
      <c r="F96" s="4"/>
    </row>
    <row r="97" spans="6:6">
      <c r="F97" s="4"/>
    </row>
    <row r="98" spans="6:6">
      <c r="F98" s="4"/>
    </row>
    <row r="99" spans="6:6">
      <c r="F99" s="4"/>
    </row>
    <row r="100" spans="6:6">
      <c r="F100" s="4"/>
    </row>
    <row r="101" spans="6:6">
      <c r="F101" s="4"/>
    </row>
    <row r="102" spans="6:6">
      <c r="F102" s="4"/>
    </row>
    <row r="103" spans="6:6">
      <c r="F103" s="4"/>
    </row>
    <row r="104" spans="6:6">
      <c r="F104" s="4"/>
    </row>
    <row r="105" spans="6:6">
      <c r="F105" s="4"/>
    </row>
    <row r="106" spans="6:6">
      <c r="F106" s="4"/>
    </row>
    <row r="107" spans="6:6">
      <c r="F107" s="4"/>
    </row>
    <row r="108" spans="6:6">
      <c r="F108" s="4"/>
    </row>
    <row r="109" spans="6:6">
      <c r="F109" s="4"/>
    </row>
    <row r="110" spans="6:6">
      <c r="F110" s="4"/>
    </row>
    <row r="111" spans="6:6">
      <c r="F111" s="4"/>
    </row>
    <row r="112" spans="6:6">
      <c r="F112" s="4"/>
    </row>
    <row r="113" spans="6:6">
      <c r="F113" s="4"/>
    </row>
    <row r="114" spans="6:6">
      <c r="F114" s="4"/>
    </row>
    <row r="115" spans="6:6">
      <c r="F115" s="4"/>
    </row>
    <row r="116" spans="6:6">
      <c r="F116" s="4"/>
    </row>
    <row r="117" spans="6:6">
      <c r="F117" s="4"/>
    </row>
    <row r="118" spans="6:6">
      <c r="F118" s="4"/>
    </row>
    <row r="119" spans="6:6">
      <c r="F119" s="4"/>
    </row>
    <row r="120" spans="6:6">
      <c r="F120" s="4"/>
    </row>
    <row r="121" spans="6:6">
      <c r="F121" s="4"/>
    </row>
    <row r="122" spans="6:6">
      <c r="F122" s="4"/>
    </row>
    <row r="123" spans="6:6">
      <c r="F123" s="4"/>
    </row>
    <row r="124" spans="6:6">
      <c r="F124" s="4"/>
    </row>
    <row r="125" spans="6:6">
      <c r="F125" s="4"/>
    </row>
    <row r="126" spans="6:6">
      <c r="F126" s="4"/>
    </row>
    <row r="127" spans="6:6">
      <c r="F127" s="4"/>
    </row>
    <row r="128" spans="6:6">
      <c r="F128" s="4"/>
    </row>
    <row r="129" spans="6:6">
      <c r="F129" s="4"/>
    </row>
    <row r="130" spans="6:6">
      <c r="F130" s="4"/>
    </row>
    <row r="131" spans="6:6">
      <c r="F131" s="4"/>
    </row>
    <row r="132" spans="6:6">
      <c r="F132" s="4"/>
    </row>
    <row r="133" spans="6:6">
      <c r="F133" s="4"/>
    </row>
    <row r="134" spans="6:6">
      <c r="F134" s="4"/>
    </row>
    <row r="135" spans="6:6">
      <c r="F135" s="4"/>
    </row>
    <row r="136" spans="6:6">
      <c r="F136" s="4"/>
    </row>
    <row r="137" spans="6:6">
      <c r="F137" s="4"/>
    </row>
    <row r="138" spans="6:6">
      <c r="F138" s="4"/>
    </row>
    <row r="139" spans="6:6">
      <c r="F139" s="4"/>
    </row>
    <row r="140" spans="6:6">
      <c r="F140" s="4"/>
    </row>
    <row r="141" spans="6:6">
      <c r="F141" s="4"/>
    </row>
    <row r="142" spans="6:6">
      <c r="F142" s="4"/>
    </row>
    <row r="143" spans="6:6">
      <c r="F143" s="4"/>
    </row>
    <row r="144" spans="6:6">
      <c r="F144" s="4"/>
    </row>
    <row r="145" spans="6:6">
      <c r="F145" s="4"/>
    </row>
    <row r="146" spans="6:6">
      <c r="F146" s="4"/>
    </row>
    <row r="147" spans="6:6">
      <c r="F147" s="4"/>
    </row>
    <row r="148" spans="6:6">
      <c r="F148" s="4"/>
    </row>
    <row r="149" spans="6:6">
      <c r="F149" s="4"/>
    </row>
    <row r="150" spans="6:6">
      <c r="F150" s="4"/>
    </row>
    <row r="151" spans="6:6">
      <c r="F151" s="4"/>
    </row>
    <row r="152" spans="6:6">
      <c r="F152" s="4"/>
    </row>
    <row r="153" spans="6:6">
      <c r="F153" s="4"/>
    </row>
    <row r="154" spans="6:6">
      <c r="F154" s="4"/>
    </row>
    <row r="155" spans="6:6">
      <c r="F155" s="4"/>
    </row>
    <row r="156" spans="6:6">
      <c r="F156" s="4"/>
    </row>
    <row r="157" spans="6:6">
      <c r="F157" s="4"/>
    </row>
    <row r="158" spans="6:6">
      <c r="F158" s="4"/>
    </row>
    <row r="159" spans="6:6">
      <c r="F159" s="4"/>
    </row>
    <row r="160" spans="6:6">
      <c r="F160" s="4"/>
    </row>
    <row r="161" spans="6:6">
      <c r="F161" s="4"/>
    </row>
    <row r="162" spans="6:6">
      <c r="F162" s="4"/>
    </row>
    <row r="163" spans="6:6">
      <c r="F163" s="4"/>
    </row>
    <row r="164" spans="6:6">
      <c r="F164" s="4"/>
    </row>
    <row r="165" spans="6:6">
      <c r="F165" s="4"/>
    </row>
    <row r="166" spans="6:6">
      <c r="F166" s="4"/>
    </row>
    <row r="167" spans="6:6">
      <c r="F167" s="4"/>
    </row>
    <row r="168" spans="6:6">
      <c r="F168" s="4"/>
    </row>
    <row r="169" spans="6:6">
      <c r="F169" s="4"/>
    </row>
    <row r="170" spans="6:6">
      <c r="F170" s="4"/>
    </row>
    <row r="171" spans="6:6">
      <c r="F171" s="4"/>
    </row>
    <row r="172" spans="6:6">
      <c r="F172" s="4"/>
    </row>
    <row r="173" spans="6:6">
      <c r="F173" s="4"/>
    </row>
    <row r="174" spans="6:6">
      <c r="F174" s="4"/>
    </row>
    <row r="175" spans="6:6">
      <c r="F175" s="4"/>
    </row>
    <row r="176" spans="6:6">
      <c r="F176" s="4"/>
    </row>
    <row r="177" spans="6:6">
      <c r="F177" s="4"/>
    </row>
    <row r="178" spans="6:6">
      <c r="F178" s="4"/>
    </row>
    <row r="179" spans="6:6">
      <c r="F179" s="4"/>
    </row>
    <row r="180" spans="6:6">
      <c r="F180" s="4"/>
    </row>
    <row r="181" spans="6:6">
      <c r="F181" s="4"/>
    </row>
    <row r="182" spans="6:6">
      <c r="F182" s="4"/>
    </row>
    <row r="183" spans="6:6">
      <c r="F183" s="4"/>
    </row>
    <row r="184" spans="6:6">
      <c r="F184" s="4"/>
    </row>
    <row r="185" spans="6:6">
      <c r="F185" s="4"/>
    </row>
    <row r="186" spans="6:6">
      <c r="F186" s="4"/>
    </row>
    <row r="187" spans="6:6">
      <c r="F187" s="4"/>
    </row>
    <row r="188" spans="6:6">
      <c r="F188" s="4"/>
    </row>
    <row r="189" spans="6:6">
      <c r="F189" s="4"/>
    </row>
    <row r="190" spans="6:6">
      <c r="F190" s="4"/>
    </row>
    <row r="191" spans="6:6">
      <c r="F191" s="4"/>
    </row>
  </sheetData>
  <sheetProtection selectLockedCells="1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404E-3858-47D0-BDEF-F94E7825EA61}">
  <dimension ref="A1:E80"/>
  <sheetViews>
    <sheetView topLeftCell="A25" workbookViewId="0">
      <selection activeCell="C16" sqref="C16"/>
    </sheetView>
  </sheetViews>
  <sheetFormatPr defaultRowHeight="12.75"/>
  <cols>
    <col min="1" max="1" width="37" customWidth="1"/>
    <col min="2" max="5" width="23.140625" customWidth="1"/>
  </cols>
  <sheetData>
    <row r="1" spans="1:5" ht="18.75">
      <c r="A1" s="81" t="s">
        <v>180</v>
      </c>
      <c r="B1" s="50"/>
      <c r="C1" s="50"/>
      <c r="D1" s="50"/>
      <c r="E1" s="50"/>
    </row>
    <row r="2" spans="1:5" ht="14.25">
      <c r="A2" s="53" t="s">
        <v>181</v>
      </c>
      <c r="B2" s="50"/>
      <c r="C2" s="50"/>
      <c r="D2" s="50"/>
      <c r="E2" s="50"/>
    </row>
    <row r="3" spans="1:5" ht="6" customHeight="1">
      <c r="A3" s="50"/>
      <c r="B3" s="50"/>
      <c r="C3" s="50"/>
      <c r="D3" s="50"/>
      <c r="E3" s="50"/>
    </row>
    <row r="4" spans="1:5" ht="14.25">
      <c r="A4" s="54" t="s">
        <v>182</v>
      </c>
      <c r="B4" s="55"/>
      <c r="C4" s="55"/>
      <c r="D4" s="55"/>
      <c r="E4" s="55"/>
    </row>
    <row r="5" spans="1:5" ht="14.25">
      <c r="A5" s="56" t="s">
        <v>183</v>
      </c>
      <c r="B5" s="82">
        <f>'Wealth Management 2026'!$B$4</f>
        <v>12500</v>
      </c>
      <c r="C5" s="50"/>
      <c r="D5" s="50"/>
      <c r="E5" s="50"/>
    </row>
    <row r="6" spans="1:5" ht="14.25">
      <c r="A6" s="56" t="s">
        <v>184</v>
      </c>
      <c r="B6" s="83">
        <f ca="1">Dashboard!$B$21</f>
        <v>34.062666666666665</v>
      </c>
      <c r="C6" s="50"/>
      <c r="D6" s="50"/>
      <c r="E6" s="50"/>
    </row>
    <row r="7" spans="1:5" ht="14.25">
      <c r="A7" s="56" t="s">
        <v>185</v>
      </c>
      <c r="B7" s="82">
        <f>Dashboard!$B$57</f>
        <v>1523.95</v>
      </c>
      <c r="C7" s="50"/>
      <c r="D7" s="50"/>
      <c r="E7" s="50"/>
    </row>
    <row r="8" spans="1:5" ht="14.25">
      <c r="A8" s="56" t="s">
        <v>135</v>
      </c>
      <c r="B8" s="82">
        <f>Dashboard!$B$43</f>
        <v>600</v>
      </c>
      <c r="C8" s="80"/>
      <c r="D8" s="50"/>
      <c r="E8" s="50"/>
    </row>
    <row r="9" spans="1:5" ht="14.25">
      <c r="A9" s="56" t="s">
        <v>186</v>
      </c>
      <c r="B9" s="82">
        <f>Assumptions!$B$10</f>
        <v>3220</v>
      </c>
      <c r="C9" s="80"/>
      <c r="D9" s="50"/>
      <c r="E9" s="50"/>
    </row>
    <row r="10" spans="1:5" ht="6" customHeight="1">
      <c r="A10" s="50"/>
      <c r="B10" s="50"/>
      <c r="C10" s="50"/>
      <c r="D10" s="50"/>
      <c r="E10" s="50"/>
    </row>
    <row r="11" spans="1:5" ht="24" customHeight="1">
      <c r="A11" s="85" t="s">
        <v>187</v>
      </c>
      <c r="B11" s="85" t="s">
        <v>188</v>
      </c>
      <c r="C11" s="85" t="s">
        <v>189</v>
      </c>
      <c r="D11" s="85" t="s">
        <v>190</v>
      </c>
      <c r="E11" s="85" t="s">
        <v>191</v>
      </c>
    </row>
    <row r="12" spans="1:5" ht="22.15" customHeight="1">
      <c r="A12" s="56" t="s">
        <v>192</v>
      </c>
      <c r="B12" s="118" t="s">
        <v>193</v>
      </c>
      <c r="C12" s="119" t="s">
        <v>194</v>
      </c>
      <c r="D12" s="86"/>
      <c r="E12" s="86"/>
    </row>
    <row r="13" spans="1:5" ht="16.149999999999999" customHeight="1">
      <c r="A13" s="91" t="s">
        <v>195</v>
      </c>
      <c r="B13" s="50"/>
      <c r="C13" s="92"/>
      <c r="D13" s="50"/>
      <c r="E13" s="50"/>
    </row>
    <row r="14" spans="1:5" ht="19.899999999999999" customHeight="1">
      <c r="A14" s="93" t="s">
        <v>196</v>
      </c>
      <c r="B14" s="94">
        <v>22124</v>
      </c>
      <c r="C14" s="94">
        <v>19721</v>
      </c>
      <c r="D14" s="94"/>
      <c r="E14" s="94"/>
    </row>
    <row r="15" spans="1:5" ht="19.899999999999999" customHeight="1">
      <c r="A15" s="97" t="s">
        <v>197</v>
      </c>
      <c r="B15" s="69">
        <v>4000</v>
      </c>
      <c r="C15" s="69">
        <v>4000</v>
      </c>
      <c r="D15" s="69"/>
      <c r="E15" s="69"/>
    </row>
    <row r="16" spans="1:5" ht="19.899999999999999" customHeight="1">
      <c r="A16" s="97" t="s">
        <v>198</v>
      </c>
      <c r="B16" s="98">
        <v>4.7399999999999998E-2</v>
      </c>
      <c r="C16" s="98">
        <v>4.7399999999999998E-2</v>
      </c>
      <c r="D16" s="98"/>
      <c r="E16" s="98"/>
    </row>
    <row r="17" spans="1:5" ht="19.899999999999999" customHeight="1">
      <c r="A17" s="97" t="s">
        <v>199</v>
      </c>
      <c r="B17" s="99">
        <v>60</v>
      </c>
      <c r="C17" s="99">
        <v>60</v>
      </c>
      <c r="D17" s="99"/>
      <c r="E17" s="99"/>
    </row>
    <row r="18" spans="1:5" ht="19.899999999999999" customHeight="1">
      <c r="A18" s="97" t="s">
        <v>200</v>
      </c>
      <c r="B18" s="69">
        <v>165</v>
      </c>
      <c r="C18" s="69">
        <v>155</v>
      </c>
      <c r="D18" s="69"/>
      <c r="E18" s="69"/>
    </row>
    <row r="19" spans="1:5" ht="19.899999999999999" customHeight="1">
      <c r="A19" s="95" t="s">
        <v>201</v>
      </c>
      <c r="B19" s="96"/>
      <c r="C19" s="100"/>
      <c r="D19" s="96"/>
      <c r="E19" s="96"/>
    </row>
    <row r="20" spans="1:5" ht="16.149999999999999" customHeight="1">
      <c r="A20" s="91" t="s">
        <v>202</v>
      </c>
      <c r="B20" s="50"/>
      <c r="C20" s="101"/>
      <c r="D20" s="50"/>
      <c r="E20" s="50"/>
    </row>
    <row r="21" spans="1:5" ht="19.899999999999999" customHeight="1">
      <c r="A21" s="93" t="s">
        <v>203</v>
      </c>
      <c r="B21" s="102">
        <f>IF(B14="","",IF(OR(B16="",B16=0,B17="",B17=0),0,PMT(B16/12,B17,-(B14-IF(B15="",0,B15)))))</f>
        <v>339.86755572525942</v>
      </c>
      <c r="C21" s="102">
        <f>IF(C14="","",IF(OR(C16="",C16=0,C17="",C17=0),0,PMT(C16/12,C17,-(C14-IF(C15="",0,C15)))))</f>
        <v>294.80566340525286</v>
      </c>
      <c r="D21" s="102" t="str">
        <f>IF(D14="","",IF(OR(D16="",D16=0,D17="",D17=0),0,PMT(D16/12,D17,-(D14-IF(D15="",0,D15)))))</f>
        <v/>
      </c>
      <c r="E21" s="102" t="str">
        <f>IF(E14="","",IF(OR(E16="",E16=0,E17="",E17=0),0,PMT(E16/12,E17,-(E14-IF(E15="",0,E15)))))</f>
        <v/>
      </c>
    </row>
    <row r="22" spans="1:5" ht="19.899999999999999" customHeight="1">
      <c r="A22" s="97" t="s">
        <v>204</v>
      </c>
      <c r="B22" s="70">
        <f>IF(B14="",IF(B19="","",B19/12),IF(B21="","",B21+IF(B18="",0,B18)))</f>
        <v>504.86755572525942</v>
      </c>
      <c r="C22" s="70">
        <f>IF(C14="",IF(C19="","",C19/12),IF(C21="","",C21+IF(C18="",0,C18)))</f>
        <v>449.80566340525286</v>
      </c>
      <c r="D22" s="70" t="str">
        <f>IF(D14="",IF(D19="","",D19/12),IF(D21="","",D21+IF(D18="",0,D18)))</f>
        <v/>
      </c>
      <c r="E22" s="70" t="str">
        <f>IF(E14="",IF(E19="","",E19/12),IF(E21="","",E21+IF(E18="",0,E18)))</f>
        <v/>
      </c>
    </row>
    <row r="23" spans="1:5" ht="19.899999999999999" customHeight="1">
      <c r="A23" s="97" t="s">
        <v>205</v>
      </c>
      <c r="B23" s="70">
        <f>IF(B22="","",B22/30.4)</f>
        <v>16.607485385699324</v>
      </c>
      <c r="C23" s="70">
        <f>IF(C22="","",C22/30.4)</f>
        <v>14.796238927804371</v>
      </c>
      <c r="D23" s="70" t="str">
        <f>IF(D22="","",D22/30.4)</f>
        <v/>
      </c>
      <c r="E23" s="70" t="str">
        <f>IF(E22="","",E22/30.4)</f>
        <v/>
      </c>
    </row>
    <row r="24" spans="1:5" ht="19.899999999999999" customHeight="1">
      <c r="A24" s="106" t="s">
        <v>206</v>
      </c>
      <c r="B24" s="107">
        <f ca="1">IF(B23="","",B6-B23)</f>
        <v>17.455181280967341</v>
      </c>
      <c r="C24" s="107">
        <f ca="1">IF(C23="","",B6-C23)</f>
        <v>19.266427738862294</v>
      </c>
      <c r="D24" s="107" t="str">
        <f>IF(D23="","",B6-D23)</f>
        <v/>
      </c>
      <c r="E24" s="107" t="str">
        <f>IF(E23="","",B6-E23)</f>
        <v/>
      </c>
    </row>
    <row r="25" spans="1:5" ht="19.899999999999999" customHeight="1">
      <c r="A25" s="97" t="s">
        <v>12</v>
      </c>
      <c r="B25" s="103">
        <f>IF(B22="","",IF(B14="",B19,B22*12))</f>
        <v>6058.4106687031126</v>
      </c>
      <c r="C25" s="103">
        <f>IF(C22="","",IF(C14="",C19,C22*12))</f>
        <v>5397.6679608630348</v>
      </c>
      <c r="D25" s="103" t="str">
        <f>IF(D22="","",IF(D14="",D19,D22*12))</f>
        <v/>
      </c>
      <c r="E25" s="103" t="str">
        <f>IF(E22="","",IF(E14="",E19,E22*12))</f>
        <v/>
      </c>
    </row>
    <row r="26" spans="1:5" ht="19.899999999999999" customHeight="1">
      <c r="A26" s="97" t="s">
        <v>207</v>
      </c>
      <c r="B26" s="103">
        <f>IF(B14="","",IF(B17="",0,(B21*B17-(B14-IF(B15="",0,B15)))+IF(IF(B15="",0,B15)=0,0,FV(Assumptions!$B$12/12,120,0,-IF(B15="",0,B15)))))</f>
        <v>10306.698850298093</v>
      </c>
      <c r="C26" s="103">
        <f>IF(C14="","",IF(C17="",0,(C21*C17-(C14-IF(C15="",0,C15)))+IF(IF(C15="",0,C15)=0,0,FV(Assumptions!$B$12/12,120,0,-IF(C15="",0,C15)))))</f>
        <v>10005.985311097698</v>
      </c>
      <c r="D26" s="103" t="str">
        <f>IF(D14="","",IF(D17="",0,(D21*D17-(D14-IF(D15="",0,D15)))+IF(IF(D15="",0,D15)=0,0,FV(Assumptions!$B$12/12,120,0,-IF(D15="",0,D15)))))</f>
        <v/>
      </c>
      <c r="E26" s="103" t="str">
        <f>IF(E14="","",IF(E17="",0,(E21*E17-(E14-IF(E15="",0,E15)))+IF(IF(E15="",0,E15)=0,0,FV(Assumptions!$B$12/12,120,0,-IF(E15="",0,E15)))))</f>
        <v/>
      </c>
    </row>
    <row r="27" spans="1:5" ht="19.899999999999999" customHeight="1">
      <c r="A27" s="97" t="s">
        <v>208</v>
      </c>
      <c r="B27" s="103">
        <f>IF(B14="",IF(B19="","",B5-B19),B5-IF(B15="",0,B15))</f>
        <v>8500</v>
      </c>
      <c r="C27" s="103">
        <f>IF(C14="",IF(C19="","",B5-C19),B5-IF(C15="",0,C15))</f>
        <v>8500</v>
      </c>
      <c r="D27" s="103" t="str">
        <f>IF(D14="",IF(D19="","",B5-D19),B5-IF(D15="",0,D15))</f>
        <v/>
      </c>
      <c r="E27" s="103" t="str">
        <f>IF(E14="",IF(E19="","",B5-E19),B5-IF(E15="",0,E15))</f>
        <v/>
      </c>
    </row>
    <row r="28" spans="1:5" ht="19.899999999999999" customHeight="1">
      <c r="A28" s="97" t="s">
        <v>209</v>
      </c>
      <c r="B28" s="104">
        <f>IF(B22="","",IF(B22=0,"∞",ROUND(B27/B22,1)))</f>
        <v>16.8</v>
      </c>
      <c r="C28" s="104">
        <f>IF(C22="","",IF(C22=0,"∞",ROUND(C27/C22,1)))</f>
        <v>18.899999999999999</v>
      </c>
      <c r="D28" s="104" t="str">
        <f>IF(D22="","",IF(D22=0,"∞",ROUND(D27/D22,1)))</f>
        <v/>
      </c>
      <c r="E28" s="104" t="str">
        <f>IF(E22="","",IF(E22=0,"∞",ROUND(E27/E22,1)))</f>
        <v/>
      </c>
    </row>
    <row r="29" spans="1:5" ht="19.899999999999999" customHeight="1">
      <c r="A29" s="106" t="s">
        <v>157</v>
      </c>
      <c r="B29" s="120" t="str">
        <f>IF(B22="","",IF(B9-(B7+B22)&gt;B8,"✅ Yes",IF(B9-(B7+B22)&gt;0,"⚠️ Tight","❌ No")))</f>
        <v>✅ Yes</v>
      </c>
      <c r="C29" s="120" t="str">
        <f>IF(C22="","",IF(B9-(B7+C22)&gt;B8,"✅ Yes",IF(B9-(B7+C22)&gt;0,"⚠️ Tight","❌ No")))</f>
        <v>✅ Yes</v>
      </c>
      <c r="D29" s="120" t="str">
        <f>IF(D22="","",IF(B9-(B7+D22)&gt;B8,"✅ Yes",IF(B9-(B7+D22)&gt;0,"⚠️ Tight","❌ No")))</f>
        <v/>
      </c>
      <c r="E29" s="120" t="str">
        <f>IF(E22="","",IF(B9-(B7+E22)&gt;B8,"✅ Yes",IF(B9-(B7+E22)&gt;0,"⚠️ Tight","❌ No")))</f>
        <v/>
      </c>
    </row>
    <row r="30" spans="1:5" ht="19.899999999999999" customHeight="1">
      <c r="A30" s="95" t="s">
        <v>210</v>
      </c>
      <c r="B30" s="105">
        <f>IF(B25="","",B25/(B9*12))</f>
        <v>0.15679116637430415</v>
      </c>
      <c r="C30" s="105">
        <f>IF(C25="","",C25/(B9*12))</f>
        <v>0.13969119981529593</v>
      </c>
      <c r="D30" s="105" t="str">
        <f>IF(D25="","",D25/(B9*12))</f>
        <v/>
      </c>
      <c r="E30" s="105" t="str">
        <f>IF(E25="","",E25/(B9*12))</f>
        <v/>
      </c>
    </row>
    <row r="31" spans="1:5" ht="6" customHeight="1">
      <c r="A31" s="50"/>
      <c r="B31" s="50"/>
      <c r="C31" s="50"/>
      <c r="D31" s="50"/>
      <c r="E31" s="50"/>
    </row>
    <row r="32" spans="1:5" ht="24" customHeight="1">
      <c r="A32" s="84" t="s">
        <v>211</v>
      </c>
      <c r="B32" s="84"/>
      <c r="C32" s="84"/>
      <c r="D32" s="84"/>
      <c r="E32" s="84"/>
    </row>
    <row r="33" spans="1:5" ht="19.899999999999999" customHeight="1">
      <c r="A33" s="88" t="s">
        <v>212</v>
      </c>
      <c r="B33" s="82">
        <f>Dashboard!B6</f>
        <v>1947</v>
      </c>
      <c r="C33" s="50"/>
      <c r="D33" s="50"/>
      <c r="E33" s="50"/>
    </row>
    <row r="34" spans="1:5" ht="19.899999999999999" customHeight="1">
      <c r="A34" s="88" t="s">
        <v>213</v>
      </c>
      <c r="B34" s="82">
        <f>'Wealth Management 2026'!B20</f>
        <v>12600</v>
      </c>
      <c r="C34" s="50"/>
      <c r="D34" s="50"/>
      <c r="E34" s="50"/>
    </row>
    <row r="35" spans="1:5" ht="19.899999999999999" customHeight="1">
      <c r="A35" s="88" t="s">
        <v>214</v>
      </c>
      <c r="B35" s="108">
        <f>B33+B34</f>
        <v>14547</v>
      </c>
      <c r="C35" s="50"/>
      <c r="D35" s="50"/>
      <c r="E35" s="50"/>
    </row>
    <row r="36" spans="1:5" ht="19.899999999999999" customHeight="1">
      <c r="A36" s="88" t="s">
        <v>215</v>
      </c>
      <c r="B36" s="89">
        <f>Dashboard!B57</f>
        <v>1523.95</v>
      </c>
      <c r="C36" s="50"/>
      <c r="D36" s="50"/>
      <c r="E36" s="50"/>
    </row>
    <row r="37" spans="1:5" ht="19.899999999999999" customHeight="1">
      <c r="A37" s="88" t="s">
        <v>216</v>
      </c>
      <c r="B37" s="49">
        <f>Dashboard!B43</f>
        <v>600</v>
      </c>
      <c r="C37" s="50"/>
      <c r="D37" s="50"/>
      <c r="E37" s="50"/>
    </row>
    <row r="38" spans="1:5" ht="19.899999999999999" customHeight="1">
      <c r="A38" s="88" t="s">
        <v>217</v>
      </c>
      <c r="B38" s="89">
        <f>B36+B37</f>
        <v>2123.9499999999998</v>
      </c>
      <c r="C38" s="50"/>
      <c r="D38" s="50"/>
      <c r="E38" s="50"/>
    </row>
    <row r="39" spans="1:5" ht="19.899999999999999" customHeight="1">
      <c r="A39" s="88" t="s">
        <v>218</v>
      </c>
      <c r="B39" s="49">
        <f>Assumptions!B10</f>
        <v>3220</v>
      </c>
      <c r="C39" s="50"/>
      <c r="D39" s="50"/>
      <c r="E39" s="50"/>
    </row>
    <row r="40" spans="1:5" ht="19.899999999999999" customHeight="1">
      <c r="A40" s="109" t="s">
        <v>219</v>
      </c>
      <c r="B40" s="110">
        <f>MAX(0,B38-B39)</f>
        <v>0</v>
      </c>
      <c r="C40" s="87"/>
      <c r="D40" s="87"/>
      <c r="E40" s="87"/>
    </row>
    <row r="41" spans="1:5" ht="7.9" customHeight="1">
      <c r="A41" s="50"/>
      <c r="B41" s="50"/>
      <c r="C41" s="50"/>
      <c r="D41" s="50"/>
      <c r="E41" s="50"/>
    </row>
    <row r="42" spans="1:5" ht="25.9" customHeight="1">
      <c r="A42" s="111" t="s">
        <v>220</v>
      </c>
      <c r="B42" s="111" t="str">
        <f>IF(B40&lt;=0,"INDEFINITE — base pay covers burn",IF(B35/B40&gt;=12,TEXT(ROUND(B35/B40,1),"0.0")&amp;" months (over 1 year)",TEXT(ROUND(B35/B40,1),"0.0")&amp;" months"))</f>
        <v>INDEFINITE — base pay covers burn</v>
      </c>
      <c r="C42" s="112"/>
      <c r="D42" s="112"/>
      <c r="E42" s="112"/>
    </row>
    <row r="43" spans="1:5" ht="14.25">
      <c r="A43" s="90" t="s">
        <v>221</v>
      </c>
      <c r="B43" s="113">
        <f>IF(B40=0,B39-B38,0)</f>
        <v>1096.0500000000002</v>
      </c>
      <c r="C43" s="114"/>
      <c r="D43" s="114"/>
      <c r="E43" s="114"/>
    </row>
    <row r="44" spans="1:5" ht="6" customHeight="1">
      <c r="A44" s="50"/>
      <c r="B44" s="50"/>
      <c r="C44" s="50"/>
      <c r="D44" s="50"/>
      <c r="E44" s="50"/>
    </row>
    <row r="45" spans="1:5" ht="24" customHeight="1">
      <c r="A45" s="84" t="s">
        <v>222</v>
      </c>
      <c r="B45" s="84"/>
      <c r="C45" s="84"/>
      <c r="D45" s="84"/>
      <c r="E45" s="84"/>
    </row>
    <row r="46" spans="1:5" ht="18" customHeight="1">
      <c r="A46" s="53" t="s">
        <v>223</v>
      </c>
      <c r="B46" s="50"/>
      <c r="C46" s="50"/>
      <c r="D46" s="50"/>
      <c r="E46" s="50"/>
    </row>
    <row r="47" spans="1:5" ht="19.899999999999999" customHeight="1">
      <c r="A47" s="88" t="s">
        <v>224</v>
      </c>
      <c r="B47" s="83">
        <f ca="1">Dashboard!B62</f>
        <v>41.128567763158117</v>
      </c>
      <c r="C47" s="50"/>
      <c r="D47" s="50"/>
      <c r="E47" s="50"/>
    </row>
    <row r="48" spans="1:5" ht="19.899999999999999" customHeight="1">
      <c r="A48" s="88" t="s">
        <v>185</v>
      </c>
      <c r="B48" s="83">
        <f>Dashboard!B57</f>
        <v>1523.95</v>
      </c>
      <c r="C48" s="50"/>
      <c r="D48" s="50"/>
      <c r="E48" s="50"/>
    </row>
    <row r="49" spans="1:5" ht="19.899999999999999" customHeight="1">
      <c r="A49" s="88" t="s">
        <v>135</v>
      </c>
      <c r="B49" s="49">
        <f>Dashboard!B43</f>
        <v>600</v>
      </c>
      <c r="C49" s="50"/>
      <c r="D49" s="50"/>
      <c r="E49" s="50"/>
    </row>
    <row r="50" spans="1:5" ht="19.899999999999999" customHeight="1">
      <c r="A50" s="88" t="s">
        <v>225</v>
      </c>
      <c r="B50" s="89">
        <f ca="1">B47+B48+B49</f>
        <v>2165.0785677631584</v>
      </c>
      <c r="C50" s="50"/>
      <c r="D50" s="50"/>
      <c r="E50" s="50"/>
    </row>
    <row r="51" spans="1:5" ht="19.899999999999999" customHeight="1">
      <c r="A51" s="109" t="s">
        <v>226</v>
      </c>
      <c r="B51" s="115">
        <f>Assumptions!B36+Assumptions!B37</f>
        <v>0.16</v>
      </c>
      <c r="C51" s="87"/>
      <c r="D51" s="87"/>
      <c r="E51" s="87"/>
    </row>
    <row r="52" spans="1:5" ht="7.9" customHeight="1">
      <c r="A52" s="50"/>
      <c r="B52" s="50"/>
      <c r="C52" s="50"/>
      <c r="D52" s="50"/>
      <c r="E52" s="50"/>
    </row>
    <row r="53" spans="1:5" ht="25.9" customHeight="1">
      <c r="A53" s="111" t="s">
        <v>227</v>
      </c>
      <c r="B53" s="116">
        <f ca="1">(B50*12)/(1-B51)</f>
        <v>30929.693825187976</v>
      </c>
      <c r="C53" s="112"/>
      <c r="D53" s="112"/>
      <c r="E53" s="112"/>
    </row>
    <row r="54" spans="1:5" ht="14.25">
      <c r="A54" s="90" t="s">
        <v>228</v>
      </c>
      <c r="B54" s="117">
        <f ca="1">B53/12</f>
        <v>2577.4744854323312</v>
      </c>
      <c r="C54" s="114"/>
      <c r="D54" s="114"/>
      <c r="E54" s="114"/>
    </row>
    <row r="55" spans="1:5" ht="14.25">
      <c r="A55" s="50"/>
      <c r="B55" s="50"/>
      <c r="C55" s="50"/>
      <c r="D55" s="50"/>
      <c r="E55" s="50"/>
    </row>
    <row r="56" spans="1:5" ht="14.25">
      <c r="A56" s="50"/>
      <c r="B56" s="50"/>
      <c r="C56" s="50"/>
      <c r="D56" s="50"/>
      <c r="E56" s="50"/>
    </row>
    <row r="57" spans="1:5" ht="14.25">
      <c r="A57" s="50"/>
      <c r="B57" s="50"/>
      <c r="C57" s="50"/>
      <c r="D57" s="50"/>
      <c r="E57" s="50"/>
    </row>
    <row r="58" spans="1:5" ht="14.25">
      <c r="A58" s="50"/>
      <c r="B58" s="50"/>
      <c r="C58" s="50"/>
      <c r="D58" s="50"/>
      <c r="E58" s="50"/>
    </row>
    <row r="59" spans="1:5" ht="14.25">
      <c r="A59" s="50"/>
      <c r="B59" s="50"/>
      <c r="C59" s="50"/>
      <c r="D59" s="50"/>
      <c r="E59" s="50"/>
    </row>
    <row r="60" spans="1:5" ht="14.25">
      <c r="A60" s="50"/>
      <c r="B60" s="50"/>
      <c r="C60" s="50"/>
      <c r="D60" s="50"/>
      <c r="E60" s="50"/>
    </row>
    <row r="61" spans="1:5" ht="14.25">
      <c r="A61" s="50"/>
      <c r="B61" s="50"/>
      <c r="C61" s="50"/>
      <c r="D61" s="50"/>
      <c r="E61" s="50"/>
    </row>
    <row r="62" spans="1:5" ht="14.25">
      <c r="A62" s="50"/>
      <c r="B62" s="50"/>
      <c r="C62" s="50"/>
      <c r="D62" s="50"/>
      <c r="E62" s="50"/>
    </row>
    <row r="63" spans="1:5" ht="14.25">
      <c r="A63" s="50"/>
      <c r="B63" s="50"/>
      <c r="C63" s="50"/>
      <c r="D63" s="50"/>
      <c r="E63" s="50"/>
    </row>
    <row r="64" spans="1:5" ht="14.25">
      <c r="A64" s="50"/>
      <c r="B64" s="50"/>
      <c r="C64" s="50"/>
      <c r="D64" s="50"/>
      <c r="E64" s="50"/>
    </row>
    <row r="65" spans="1:5" ht="14.25">
      <c r="A65" s="50"/>
      <c r="B65" s="50"/>
      <c r="C65" s="50"/>
      <c r="D65" s="50"/>
      <c r="E65" s="50"/>
    </row>
    <row r="66" spans="1:5" ht="14.25">
      <c r="A66" s="50"/>
      <c r="B66" s="50"/>
      <c r="C66" s="50"/>
      <c r="D66" s="50"/>
      <c r="E66" s="50"/>
    </row>
    <row r="67" spans="1:5" ht="14.25">
      <c r="A67" s="50"/>
      <c r="B67" s="50"/>
      <c r="C67" s="50"/>
      <c r="D67" s="50"/>
      <c r="E67" s="50"/>
    </row>
    <row r="68" spans="1:5" ht="14.25">
      <c r="A68" s="50"/>
      <c r="B68" s="50"/>
      <c r="C68" s="50"/>
      <c r="D68" s="50"/>
      <c r="E68" s="50"/>
    </row>
    <row r="69" spans="1:5" ht="14.25">
      <c r="A69" s="50"/>
      <c r="B69" s="50"/>
      <c r="C69" s="50"/>
      <c r="D69" s="50"/>
      <c r="E69" s="50"/>
    </row>
    <row r="70" spans="1:5" ht="14.25">
      <c r="A70" s="50"/>
      <c r="B70" s="50"/>
      <c r="C70" s="50"/>
      <c r="D70" s="50"/>
      <c r="E70" s="50"/>
    </row>
    <row r="71" spans="1:5" ht="14.25">
      <c r="A71" s="50"/>
      <c r="B71" s="50"/>
      <c r="C71" s="50"/>
      <c r="D71" s="50"/>
      <c r="E71" s="50"/>
    </row>
    <row r="72" spans="1:5" ht="14.25">
      <c r="A72" s="50"/>
      <c r="B72" s="50"/>
      <c r="C72" s="50"/>
      <c r="D72" s="50"/>
      <c r="E72" s="50"/>
    </row>
    <row r="73" spans="1:5" ht="14.25">
      <c r="A73" s="50"/>
      <c r="B73" s="50"/>
      <c r="C73" s="50"/>
      <c r="D73" s="50"/>
      <c r="E73" s="50"/>
    </row>
    <row r="74" spans="1:5" ht="14.25">
      <c r="A74" s="50"/>
      <c r="B74" s="50"/>
      <c r="C74" s="50"/>
      <c r="D74" s="50"/>
      <c r="E74" s="50"/>
    </row>
    <row r="75" spans="1:5" ht="14.25">
      <c r="A75" s="50"/>
      <c r="B75" s="50"/>
      <c r="C75" s="50"/>
      <c r="D75" s="50"/>
      <c r="E75" s="50"/>
    </row>
    <row r="76" spans="1:5" ht="14.25">
      <c r="A76" s="50"/>
      <c r="B76" s="50"/>
      <c r="C76" s="50"/>
      <c r="D76" s="50"/>
      <c r="E76" s="50"/>
    </row>
    <row r="77" spans="1:5" ht="14.25">
      <c r="A77" s="50"/>
      <c r="B77" s="50"/>
      <c r="C77" s="50"/>
      <c r="D77" s="50"/>
      <c r="E77" s="50"/>
    </row>
    <row r="78" spans="1:5" ht="14.25">
      <c r="A78" s="50"/>
      <c r="B78" s="50"/>
      <c r="C78" s="50"/>
      <c r="D78" s="50"/>
      <c r="E78" s="50"/>
    </row>
    <row r="79" spans="1:5" ht="14.25">
      <c r="A79" s="50"/>
      <c r="B79" s="50"/>
      <c r="C79" s="50"/>
      <c r="D79" s="50"/>
      <c r="E79" s="50"/>
    </row>
    <row r="80" spans="1:5" ht="14.25">
      <c r="A80" s="50"/>
      <c r="B80" s="50"/>
      <c r="C80" s="50"/>
      <c r="D80" s="50"/>
      <c r="E80" s="50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40A0-0AD6-41F7-9CC8-E06AB7740A00}">
  <dimension ref="A1:J65"/>
  <sheetViews>
    <sheetView workbookViewId="0">
      <pane ySplit="3" topLeftCell="A27" activePane="bottomLeft" state="frozen"/>
      <selection pane="bottomLeft" activeCell="A40" sqref="A40"/>
    </sheetView>
  </sheetViews>
  <sheetFormatPr defaultRowHeight="12.75"/>
  <cols>
    <col min="1" max="1" width="31.42578125" customWidth="1"/>
    <col min="2" max="2" width="16.7109375" customWidth="1"/>
    <col min="3" max="3" width="17.5703125" customWidth="1"/>
    <col min="4" max="4" width="14.7109375" customWidth="1"/>
    <col min="5" max="5" width="15.5703125" customWidth="1"/>
    <col min="6" max="6" width="18.5703125" customWidth="1"/>
    <col min="7" max="7" width="15.5703125" customWidth="1"/>
    <col min="8" max="9" width="18.5703125" customWidth="1"/>
    <col min="10" max="10" width="17.5703125" customWidth="1"/>
    <col min="11" max="11" width="23" customWidth="1"/>
    <col min="12" max="12" width="30.85546875" bestFit="1" customWidth="1"/>
    <col min="13" max="13" width="12.5703125" bestFit="1" customWidth="1"/>
  </cols>
  <sheetData>
    <row r="1" spans="1:10" ht="30" customHeight="1">
      <c r="A1" s="81" t="s">
        <v>229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15" customHeight="1">
      <c r="A2" s="50"/>
      <c r="B2" s="50"/>
      <c r="C2" s="50"/>
      <c r="D2" s="50"/>
      <c r="E2" s="50"/>
      <c r="F2" s="50"/>
      <c r="G2" s="50"/>
      <c r="H2" s="50"/>
      <c r="I2" s="50"/>
      <c r="J2" s="50"/>
    </row>
    <row r="3" spans="1:10" ht="25.15" customHeight="1">
      <c r="A3" s="122" t="s">
        <v>230</v>
      </c>
      <c r="B3" s="122" t="s">
        <v>231</v>
      </c>
      <c r="C3" s="122" t="s">
        <v>232</v>
      </c>
      <c r="D3" s="122" t="s">
        <v>233</v>
      </c>
      <c r="E3" s="122" t="s">
        <v>234</v>
      </c>
      <c r="F3" s="122" t="s">
        <v>235</v>
      </c>
      <c r="G3" s="122" t="s">
        <v>24</v>
      </c>
      <c r="H3" s="122" t="s">
        <v>236</v>
      </c>
      <c r="I3" s="122" t="s">
        <v>237</v>
      </c>
      <c r="J3" s="122" t="s">
        <v>238</v>
      </c>
    </row>
    <row r="4" spans="1:10" ht="19.899999999999999" customHeight="1">
      <c r="A4" s="126" t="s">
        <v>239</v>
      </c>
      <c r="B4" s="62">
        <v>12500</v>
      </c>
      <c r="C4" s="127">
        <v>36073.35</v>
      </c>
      <c r="D4" s="127">
        <v>1550</v>
      </c>
      <c r="E4" s="62">
        <v>0</v>
      </c>
      <c r="F4" s="108">
        <f>IF(COUNTA(B4:E4)=0,"",SUM(B4:E4))</f>
        <v>50123.35</v>
      </c>
      <c r="G4" s="62">
        <v>0</v>
      </c>
      <c r="H4" s="62">
        <v>30000</v>
      </c>
      <c r="I4" s="49">
        <f>IF(COUNTA(G4:H4)=0,"",SUM(G4:H4))</f>
        <v>30000</v>
      </c>
      <c r="J4" s="128">
        <f>IF(AND(F4="",I4=""),"",N(F4)-N(I4))</f>
        <v>20123.349999999999</v>
      </c>
    </row>
    <row r="5" spans="1:10" ht="19.899999999999999" customHeight="1">
      <c r="A5" s="129" t="s">
        <v>240</v>
      </c>
      <c r="B5" s="69">
        <v>12500</v>
      </c>
      <c r="C5" s="130">
        <v>36073.35</v>
      </c>
      <c r="D5" s="130">
        <v>1750</v>
      </c>
      <c r="E5" s="69">
        <v>0</v>
      </c>
      <c r="F5" s="131">
        <f t="shared" ref="F5:F15" si="0">IF(COUNTA(B5:E5)=0,"",SUM(B5:E5))</f>
        <v>50323.35</v>
      </c>
      <c r="G5" s="69">
        <v>0</v>
      </c>
      <c r="H5" s="69">
        <v>30000</v>
      </c>
      <c r="I5" s="103">
        <f t="shared" ref="I5:I15" si="1">IF(COUNTA(G5:H5)=0,"",SUM(G5:H5))</f>
        <v>30000</v>
      </c>
      <c r="J5" s="132">
        <f t="shared" ref="J5:J15" si="2">IF(AND(F5="",I5=""),"",N(F5)-N(I5))</f>
        <v>20323.349999999999</v>
      </c>
    </row>
    <row r="6" spans="1:10" ht="19.899999999999999" customHeight="1">
      <c r="A6" s="129" t="s">
        <v>241</v>
      </c>
      <c r="B6" s="69">
        <v>12600</v>
      </c>
      <c r="C6" s="130">
        <v>33962.449999999997</v>
      </c>
      <c r="D6" s="130">
        <v>1850.45</v>
      </c>
      <c r="E6" s="69">
        <v>0</v>
      </c>
      <c r="F6" s="131">
        <f t="shared" si="0"/>
        <v>48412.899999999994</v>
      </c>
      <c r="G6" s="69">
        <v>0</v>
      </c>
      <c r="H6" s="69">
        <v>30000</v>
      </c>
      <c r="I6" s="103">
        <f t="shared" si="1"/>
        <v>30000</v>
      </c>
      <c r="J6" s="132">
        <f t="shared" si="2"/>
        <v>18412.899999999994</v>
      </c>
    </row>
    <row r="7" spans="1:10" ht="19.899999999999999" customHeight="1">
      <c r="A7" s="129" t="s">
        <v>242</v>
      </c>
      <c r="B7" s="69"/>
      <c r="C7" s="130"/>
      <c r="D7" s="130"/>
      <c r="E7" s="69"/>
      <c r="F7" s="131" t="str">
        <f t="shared" si="0"/>
        <v/>
      </c>
      <c r="G7" s="69"/>
      <c r="H7" s="69"/>
      <c r="I7" s="103" t="str">
        <f t="shared" si="1"/>
        <v/>
      </c>
      <c r="J7" s="132" t="str">
        <f t="shared" si="2"/>
        <v/>
      </c>
    </row>
    <row r="8" spans="1:10" ht="19.899999999999999" customHeight="1">
      <c r="A8" s="129" t="s">
        <v>243</v>
      </c>
      <c r="B8" s="69"/>
      <c r="C8" s="130"/>
      <c r="D8" s="130"/>
      <c r="E8" s="69"/>
      <c r="F8" s="131" t="str">
        <f t="shared" si="0"/>
        <v/>
      </c>
      <c r="G8" s="69"/>
      <c r="H8" s="69"/>
      <c r="I8" s="103" t="str">
        <f t="shared" si="1"/>
        <v/>
      </c>
      <c r="J8" s="132" t="str">
        <f t="shared" si="2"/>
        <v/>
      </c>
    </row>
    <row r="9" spans="1:10" ht="19.899999999999999" customHeight="1">
      <c r="A9" s="129" t="s">
        <v>244</v>
      </c>
      <c r="B9" s="69"/>
      <c r="C9" s="130"/>
      <c r="D9" s="130"/>
      <c r="E9" s="69"/>
      <c r="F9" s="131" t="str">
        <f t="shared" si="0"/>
        <v/>
      </c>
      <c r="G9" s="69"/>
      <c r="H9" s="69"/>
      <c r="I9" s="103" t="str">
        <f t="shared" si="1"/>
        <v/>
      </c>
      <c r="J9" s="132" t="str">
        <f t="shared" si="2"/>
        <v/>
      </c>
    </row>
    <row r="10" spans="1:10" ht="19.899999999999999" customHeight="1">
      <c r="A10" s="129" t="s">
        <v>245</v>
      </c>
      <c r="B10" s="69"/>
      <c r="C10" s="130"/>
      <c r="D10" s="130"/>
      <c r="E10" s="69"/>
      <c r="F10" s="131" t="str">
        <f t="shared" si="0"/>
        <v/>
      </c>
      <c r="G10" s="69"/>
      <c r="H10" s="69"/>
      <c r="I10" s="103" t="str">
        <f t="shared" si="1"/>
        <v/>
      </c>
      <c r="J10" s="132" t="str">
        <f t="shared" si="2"/>
        <v/>
      </c>
    </row>
    <row r="11" spans="1:10" ht="19.899999999999999" customHeight="1">
      <c r="A11" s="129" t="s">
        <v>246</v>
      </c>
      <c r="B11" s="69"/>
      <c r="C11" s="130"/>
      <c r="D11" s="130"/>
      <c r="E11" s="69"/>
      <c r="F11" s="131" t="str">
        <f t="shared" si="0"/>
        <v/>
      </c>
      <c r="G11" s="69"/>
      <c r="H11" s="69"/>
      <c r="I11" s="103" t="str">
        <f t="shared" si="1"/>
        <v/>
      </c>
      <c r="J11" s="132" t="str">
        <f t="shared" si="2"/>
        <v/>
      </c>
    </row>
    <row r="12" spans="1:10" ht="19.899999999999999" customHeight="1">
      <c r="A12" s="129" t="s">
        <v>247</v>
      </c>
      <c r="B12" s="69"/>
      <c r="C12" s="130"/>
      <c r="D12" s="130"/>
      <c r="E12" s="69"/>
      <c r="F12" s="131" t="str">
        <f t="shared" si="0"/>
        <v/>
      </c>
      <c r="G12" s="69"/>
      <c r="H12" s="69"/>
      <c r="I12" s="103" t="str">
        <f t="shared" si="1"/>
        <v/>
      </c>
      <c r="J12" s="132" t="str">
        <f t="shared" si="2"/>
        <v/>
      </c>
    </row>
    <row r="13" spans="1:10" ht="19.899999999999999" customHeight="1">
      <c r="A13" s="129" t="s">
        <v>248</v>
      </c>
      <c r="B13" s="69"/>
      <c r="C13" s="130"/>
      <c r="D13" s="130"/>
      <c r="E13" s="69"/>
      <c r="F13" s="131" t="str">
        <f t="shared" si="0"/>
        <v/>
      </c>
      <c r="G13" s="69"/>
      <c r="H13" s="69"/>
      <c r="I13" s="103" t="str">
        <f t="shared" si="1"/>
        <v/>
      </c>
      <c r="J13" s="132" t="str">
        <f t="shared" si="2"/>
        <v/>
      </c>
    </row>
    <row r="14" spans="1:10" ht="19.899999999999999" customHeight="1">
      <c r="A14" s="129" t="s">
        <v>249</v>
      </c>
      <c r="B14" s="69"/>
      <c r="C14" s="130"/>
      <c r="D14" s="130"/>
      <c r="E14" s="69"/>
      <c r="F14" s="131" t="str">
        <f t="shared" si="0"/>
        <v/>
      </c>
      <c r="G14" s="69"/>
      <c r="H14" s="69"/>
      <c r="I14" s="103" t="str">
        <f t="shared" si="1"/>
        <v/>
      </c>
      <c r="J14" s="132" t="str">
        <f t="shared" si="2"/>
        <v/>
      </c>
    </row>
    <row r="15" spans="1:10" ht="19.899999999999999" customHeight="1">
      <c r="A15" s="133" t="s">
        <v>250</v>
      </c>
      <c r="B15" s="73"/>
      <c r="C15" s="134"/>
      <c r="D15" s="134"/>
      <c r="E15" s="73"/>
      <c r="F15" s="135" t="str">
        <f t="shared" si="0"/>
        <v/>
      </c>
      <c r="G15" s="73"/>
      <c r="H15" s="73"/>
      <c r="I15" s="136" t="str">
        <f t="shared" si="1"/>
        <v/>
      </c>
      <c r="J15" s="137" t="str">
        <f t="shared" si="2"/>
        <v/>
      </c>
    </row>
    <row r="16" spans="1:10" ht="25.15" customHeight="1">
      <c r="A16" s="138" t="s">
        <v>251</v>
      </c>
      <c r="B16" s="139"/>
      <c r="C16" s="139"/>
      <c r="D16" s="139"/>
      <c r="E16" s="139"/>
      <c r="F16" s="139"/>
      <c r="G16" s="139"/>
      <c r="H16" s="139"/>
      <c r="I16" s="139"/>
      <c r="J16" s="140" cm="1">
        <f t="array" ref="J16">IFERROR(LOOKUP(2,1/(J4:J15&lt;&gt;""),J4:J15)-J4,"")</f>
        <v>-1710.4500000000044</v>
      </c>
    </row>
    <row r="17" spans="1:10" ht="1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</row>
    <row r="18" spans="1:10" ht="18" customHeight="1">
      <c r="A18" s="54" t="s">
        <v>252</v>
      </c>
      <c r="B18" s="55"/>
      <c r="C18" s="55"/>
      <c r="D18" s="55"/>
      <c r="E18" s="55"/>
      <c r="F18" s="50"/>
      <c r="G18" s="54" t="s">
        <v>253</v>
      </c>
      <c r="H18" s="55"/>
      <c r="I18" s="55"/>
      <c r="J18" s="55"/>
    </row>
    <row r="19" spans="1:10" ht="18" customHeight="1">
      <c r="A19" s="142" t="s">
        <v>254</v>
      </c>
      <c r="B19" s="82">
        <f>Assumptions!B11</f>
        <v>15000</v>
      </c>
      <c r="C19" s="50"/>
      <c r="D19" s="50"/>
      <c r="E19" s="50"/>
      <c r="F19" s="50"/>
      <c r="G19" s="142" t="s">
        <v>255</v>
      </c>
      <c r="H19" s="147">
        <v>756</v>
      </c>
      <c r="I19" s="50"/>
      <c r="J19" s="50"/>
    </row>
    <row r="20" spans="1:10" ht="18" customHeight="1">
      <c r="A20" s="142" t="s">
        <v>256</v>
      </c>
      <c r="B20" s="49" cm="1">
        <f t="array" ref="B20">LOOKUP(2,1/(B4:B15&lt;&gt;""),B4:B15)</f>
        <v>12600</v>
      </c>
      <c r="C20" s="50"/>
      <c r="D20" s="50"/>
      <c r="E20" s="50"/>
      <c r="F20" s="50"/>
      <c r="G20" s="142" t="s">
        <v>257</v>
      </c>
      <c r="H20" s="147">
        <v>754</v>
      </c>
      <c r="I20" s="50"/>
      <c r="J20" s="50"/>
    </row>
    <row r="21" spans="1:10" ht="18" customHeight="1">
      <c r="A21" s="142" t="s">
        <v>258</v>
      </c>
      <c r="B21" s="49">
        <f>MAX(0,B19-B20)</f>
        <v>2400</v>
      </c>
      <c r="C21" s="50"/>
      <c r="D21" s="50"/>
      <c r="E21" s="50"/>
      <c r="F21" s="50"/>
      <c r="G21" s="142" t="s">
        <v>259</v>
      </c>
      <c r="H21" s="147">
        <v>736</v>
      </c>
      <c r="I21" s="50"/>
      <c r="J21" s="50"/>
    </row>
    <row r="22" spans="1:10" ht="18" customHeight="1">
      <c r="A22" s="142" t="s">
        <v>260</v>
      </c>
      <c r="B22" s="143">
        <f ca="1">IFERROR(B21/(Dashboard!$B$62*Assumptions!$B$14),"")</f>
        <v>116.70720039757167</v>
      </c>
      <c r="C22" s="50"/>
      <c r="D22" s="50"/>
      <c r="E22" s="50"/>
      <c r="F22" s="50"/>
      <c r="G22" s="142" t="s">
        <v>261</v>
      </c>
      <c r="H22" s="125">
        <f>MAX(H19:H21)-MIN(H19:H21)</f>
        <v>20</v>
      </c>
      <c r="I22" s="50"/>
      <c r="J22" s="50"/>
    </row>
    <row r="23" spans="1:10" ht="15" customHeight="1">
      <c r="A23" s="50"/>
      <c r="B23" s="50"/>
      <c r="C23" s="50"/>
      <c r="D23" s="50"/>
      <c r="E23" s="50"/>
      <c r="F23" s="50"/>
      <c r="G23" s="142" t="s">
        <v>262</v>
      </c>
      <c r="H23" s="148">
        <v>46030</v>
      </c>
      <c r="I23" s="50"/>
      <c r="J23" s="50"/>
    </row>
    <row r="24" spans="1:10" ht="18" customHeight="1">
      <c r="A24" s="54" t="s">
        <v>263</v>
      </c>
      <c r="B24" s="55"/>
      <c r="C24" s="55"/>
      <c r="D24" s="55"/>
      <c r="E24" s="55"/>
      <c r="F24" s="50"/>
      <c r="G24" s="54" t="s">
        <v>264</v>
      </c>
      <c r="H24" s="55"/>
      <c r="I24" s="55"/>
      <c r="J24" s="55"/>
    </row>
    <row r="25" spans="1:10" ht="18" customHeight="1">
      <c r="A25" s="142" t="s">
        <v>265</v>
      </c>
      <c r="B25" s="83">
        <f ca="1">Dashboard!B54+Dashboard!B55</f>
        <v>3271.2864625000002</v>
      </c>
      <c r="C25" s="50"/>
      <c r="D25" s="50"/>
      <c r="E25" s="50"/>
      <c r="F25" s="50"/>
      <c r="G25" s="142" t="s">
        <v>266</v>
      </c>
      <c r="H25" s="124" t="s">
        <v>267</v>
      </c>
      <c r="I25" s="50"/>
      <c r="J25" s="50"/>
    </row>
    <row r="26" spans="1:10" ht="18" customHeight="1">
      <c r="A26" s="142" t="s">
        <v>268</v>
      </c>
      <c r="B26" s="83">
        <f ca="1">Dashboard!B62</f>
        <v>41.128567763158117</v>
      </c>
      <c r="C26" s="50"/>
      <c r="D26" s="50"/>
      <c r="E26" s="50"/>
      <c r="F26" s="50"/>
      <c r="G26" s="142" t="s">
        <v>269</v>
      </c>
      <c r="H26" s="124" t="str">
        <f>IF(H21=MIN(H19:H21),"TransUnion",IF(H20=MIN(H19:H21),"Equifax","Experian"))</f>
        <v>TransUnion</v>
      </c>
      <c r="I26" s="50"/>
      <c r="J26" s="50"/>
    </row>
    <row r="27" spans="1:10" ht="18" customHeight="1">
      <c r="A27" s="142" t="s">
        <v>270</v>
      </c>
      <c r="B27" s="144">
        <f ca="1">IFERROR(B26/(Assumptions!B35/12),0)</f>
        <v>9.1396817251462488E-3</v>
      </c>
      <c r="C27" s="50"/>
      <c r="D27" s="50"/>
      <c r="E27" s="50"/>
      <c r="F27" s="50"/>
      <c r="G27" s="142" t="s">
        <v>271</v>
      </c>
      <c r="H27" s="124" t="s">
        <v>272</v>
      </c>
      <c r="I27" s="50"/>
      <c r="J27" s="50"/>
    </row>
    <row r="28" spans="1:10" ht="18" customHeight="1">
      <c r="A28" s="142" t="s">
        <v>273</v>
      </c>
      <c r="B28" s="145">
        <v>0.2</v>
      </c>
      <c r="C28" s="50"/>
      <c r="D28" s="50"/>
      <c r="E28" s="50"/>
      <c r="F28" s="50"/>
      <c r="G28" s="142" t="s">
        <v>274</v>
      </c>
      <c r="H28" s="149">
        <v>46174</v>
      </c>
      <c r="I28" s="50"/>
      <c r="J28" s="50"/>
    </row>
    <row r="29" spans="1:10" ht="18" customHeight="1">
      <c r="A29" s="142" t="s">
        <v>258</v>
      </c>
      <c r="B29" s="146">
        <f ca="1">IFERROR(B28-B27,"")</f>
        <v>0.19086031827485375</v>
      </c>
      <c r="C29" s="50"/>
      <c r="D29" s="50"/>
      <c r="E29" s="50"/>
      <c r="F29" s="50"/>
      <c r="G29" s="50"/>
      <c r="H29" s="50"/>
      <c r="I29" s="50"/>
      <c r="J29" s="50"/>
    </row>
    <row r="30" spans="1:10" ht="15" customHeight="1">
      <c r="A30" s="50"/>
      <c r="B30" s="50"/>
      <c r="C30" s="50"/>
      <c r="D30" s="50"/>
      <c r="E30" s="50"/>
      <c r="F30" s="50"/>
      <c r="G30" s="50"/>
      <c r="H30" s="50"/>
      <c r="I30" s="50"/>
      <c r="J30" s="50"/>
    </row>
    <row r="31" spans="1:10" ht="24" customHeight="1">
      <c r="A31" s="84" t="s">
        <v>275</v>
      </c>
      <c r="B31" s="84"/>
      <c r="C31" s="84"/>
      <c r="D31" s="84"/>
      <c r="E31" s="84"/>
      <c r="F31" s="84"/>
      <c r="G31" s="84"/>
      <c r="H31" s="84"/>
      <c r="I31" s="84"/>
      <c r="J31" s="84"/>
    </row>
    <row r="32" spans="1:10" ht="18" customHeight="1">
      <c r="A32" s="142" t="s">
        <v>276</v>
      </c>
      <c r="B32" s="82">
        <f>J4</f>
        <v>20123.349999999999</v>
      </c>
      <c r="C32" s="50"/>
      <c r="D32" s="50"/>
      <c r="E32" s="50"/>
      <c r="F32" s="50"/>
      <c r="G32" s="50"/>
      <c r="H32" s="50"/>
      <c r="I32" s="50"/>
      <c r="J32" s="50"/>
    </row>
    <row r="33" spans="1:10" ht="18" customHeight="1">
      <c r="A33" s="142" t="s">
        <v>277</v>
      </c>
      <c r="B33" s="83">
        <f ca="1">B26</f>
        <v>41.128567763158117</v>
      </c>
      <c r="C33" s="50"/>
      <c r="D33" s="50"/>
      <c r="E33" s="50"/>
      <c r="F33" s="50"/>
      <c r="G33" s="50"/>
      <c r="H33" s="50"/>
      <c r="I33" s="50"/>
      <c r="J33" s="50"/>
    </row>
    <row r="34" spans="1:10" ht="18" customHeight="1">
      <c r="A34" s="142" t="s">
        <v>278</v>
      </c>
      <c r="B34" s="150">
        <f>Assumptions!B12</f>
        <v>7.0000000000000007E-2</v>
      </c>
      <c r="C34" s="50"/>
      <c r="D34" s="50"/>
      <c r="E34" s="50"/>
      <c r="F34" s="50"/>
      <c r="G34" s="50"/>
      <c r="H34" s="50"/>
      <c r="I34" s="50"/>
      <c r="J34" s="50"/>
    </row>
    <row r="35" spans="1:10" ht="18" customHeight="1">
      <c r="A35" s="151" t="s">
        <v>279</v>
      </c>
      <c r="B35" s="152">
        <v>30</v>
      </c>
      <c r="C35" s="87"/>
      <c r="D35" s="87"/>
      <c r="E35" s="87"/>
      <c r="F35" s="87"/>
      <c r="G35" s="87"/>
      <c r="H35" s="87"/>
      <c r="I35" s="87"/>
      <c r="J35" s="87"/>
    </row>
    <row r="36" spans="1:10" ht="15" customHeight="1">
      <c r="A36" s="50"/>
      <c r="B36" s="50"/>
      <c r="C36" s="50"/>
      <c r="D36" s="50"/>
      <c r="E36" s="50"/>
      <c r="F36" s="50"/>
      <c r="G36" s="50"/>
      <c r="H36" s="50"/>
      <c r="I36" s="50"/>
      <c r="J36" s="50"/>
    </row>
    <row r="37" spans="1:10" ht="22.15" customHeight="1">
      <c r="A37" s="121" t="s">
        <v>280</v>
      </c>
      <c r="B37" s="153">
        <f ca="1">FV(B34/12,(35-B35)*12,-B33,-B32)</f>
        <v>31471.882774848687</v>
      </c>
      <c r="C37" s="50"/>
      <c r="D37" s="50"/>
      <c r="E37" s="50"/>
      <c r="F37" s="50"/>
      <c r="G37" s="50"/>
      <c r="H37" s="50"/>
      <c r="I37" s="50"/>
      <c r="J37" s="50"/>
    </row>
    <row r="38" spans="1:10" ht="22.15" customHeight="1">
      <c r="A38" s="121" t="s">
        <v>281</v>
      </c>
      <c r="B38" s="153">
        <f ca="1">FV(B34/12,(40-B35)*12,-B33,-B32)</f>
        <v>47559.849496031427</v>
      </c>
      <c r="C38" s="50"/>
      <c r="D38" s="50"/>
      <c r="E38" s="50"/>
      <c r="F38" s="50"/>
      <c r="G38" s="50"/>
      <c r="H38" s="50"/>
      <c r="I38" s="50"/>
      <c r="J38" s="50"/>
    </row>
    <row r="39" spans="1:10" ht="22.15" customHeight="1">
      <c r="A39" s="154" t="s">
        <v>282</v>
      </c>
      <c r="B39" s="155">
        <f ca="1">FV(B34/12,(45-B35)*12,-B33,-B32)</f>
        <v>70366.557495809335</v>
      </c>
      <c r="C39" s="114"/>
      <c r="D39" s="114"/>
      <c r="E39" s="114"/>
      <c r="F39" s="114"/>
      <c r="G39" s="114"/>
      <c r="H39" s="114"/>
      <c r="I39" s="114"/>
      <c r="J39" s="114"/>
    </row>
    <row r="40" spans="1:10" ht="15" customHeight="1">
      <c r="A40" s="50"/>
      <c r="B40" s="50"/>
      <c r="C40" s="50"/>
      <c r="D40" s="50"/>
      <c r="E40" s="50"/>
      <c r="F40" s="50"/>
      <c r="G40" s="50"/>
      <c r="H40" s="50"/>
      <c r="I40" s="50"/>
      <c r="J40" s="50"/>
    </row>
    <row r="41" spans="1:10" ht="18" customHeight="1">
      <c r="A41" s="54" t="s">
        <v>283</v>
      </c>
      <c r="B41" s="55"/>
      <c r="C41" s="55"/>
      <c r="D41" s="55"/>
      <c r="E41" s="55"/>
      <c r="F41" s="50"/>
      <c r="G41" s="50"/>
      <c r="H41" s="50"/>
      <c r="I41" s="50"/>
      <c r="J41" s="50"/>
    </row>
    <row r="42" spans="1:10" ht="18" customHeight="1">
      <c r="A42" s="142" t="s">
        <v>284</v>
      </c>
      <c r="B42" s="123" t="s">
        <v>285</v>
      </c>
      <c r="C42" s="50"/>
      <c r="D42" s="50"/>
      <c r="E42" s="50"/>
      <c r="F42" s="50"/>
      <c r="G42" s="50"/>
      <c r="H42" s="50"/>
      <c r="I42" s="50"/>
      <c r="J42" s="50"/>
    </row>
    <row r="43" spans="1:10" ht="18" customHeight="1">
      <c r="A43" s="142" t="s">
        <v>286</v>
      </c>
      <c r="B43" s="123" t="s">
        <v>287</v>
      </c>
      <c r="C43" s="50"/>
      <c r="D43" s="50"/>
      <c r="E43" s="50"/>
      <c r="F43" s="50"/>
      <c r="G43" s="50"/>
      <c r="H43" s="50"/>
      <c r="I43" s="50"/>
      <c r="J43" s="50"/>
    </row>
    <row r="44" spans="1:10" ht="18" customHeight="1">
      <c r="A44" s="142" t="s">
        <v>288</v>
      </c>
      <c r="B44" s="123" t="s">
        <v>289</v>
      </c>
      <c r="C44" s="50"/>
      <c r="D44" s="50"/>
      <c r="E44" s="50"/>
      <c r="F44" s="50"/>
      <c r="G44" s="50"/>
      <c r="H44" s="50"/>
      <c r="I44" s="50"/>
      <c r="J44" s="50"/>
    </row>
    <row r="45" spans="1:10" ht="14.25">
      <c r="A45" s="50"/>
      <c r="B45" s="50"/>
      <c r="C45" s="50"/>
      <c r="D45" s="50"/>
      <c r="E45" s="50"/>
      <c r="F45" s="50"/>
      <c r="G45" s="50"/>
      <c r="H45" s="50"/>
      <c r="I45" s="50"/>
      <c r="J45" s="50"/>
    </row>
    <row r="46" spans="1:10">
      <c r="A46" s="141" t="s">
        <v>290</v>
      </c>
    </row>
    <row r="47" spans="1:10">
      <c r="A47" s="156" t="s">
        <v>230</v>
      </c>
      <c r="B47" s="156" t="s">
        <v>235</v>
      </c>
      <c r="C47" s="156" t="s">
        <v>291</v>
      </c>
      <c r="D47" s="156" t="s">
        <v>238</v>
      </c>
    </row>
    <row r="48" spans="1:10">
      <c r="A48" t="str">
        <f t="shared" ref="A48:A59" si="3">IF(A4="","",A4)</f>
        <v>Jan</v>
      </c>
      <c r="B48" s="27">
        <f t="shared" ref="B48:B59" si="4">IF(F4="","",F4)</f>
        <v>50123.35</v>
      </c>
      <c r="C48" s="27">
        <f t="shared" ref="C48:C59" si="5">IF(I4="","",I4)</f>
        <v>30000</v>
      </c>
      <c r="D48" s="27">
        <f t="shared" ref="D48:D59" si="6">IF(J4="","",J4)</f>
        <v>20123.349999999999</v>
      </c>
    </row>
    <row r="49" spans="1:4">
      <c r="A49" t="str">
        <f t="shared" si="3"/>
        <v>Feb</v>
      </c>
      <c r="B49" s="27">
        <f t="shared" si="4"/>
        <v>50323.35</v>
      </c>
      <c r="C49" s="27">
        <f t="shared" si="5"/>
        <v>30000</v>
      </c>
      <c r="D49" s="27">
        <f t="shared" si="6"/>
        <v>20323.349999999999</v>
      </c>
    </row>
    <row r="50" spans="1:4">
      <c r="A50" t="str">
        <f t="shared" si="3"/>
        <v>Mar</v>
      </c>
      <c r="B50" s="27">
        <f t="shared" si="4"/>
        <v>48412.899999999994</v>
      </c>
      <c r="C50" s="27">
        <f t="shared" si="5"/>
        <v>30000</v>
      </c>
      <c r="D50" s="27">
        <f t="shared" si="6"/>
        <v>18412.899999999994</v>
      </c>
    </row>
    <row r="51" spans="1:4">
      <c r="A51" t="str">
        <f t="shared" si="3"/>
        <v>Apr</v>
      </c>
      <c r="B51" s="27" t="str">
        <f t="shared" si="4"/>
        <v/>
      </c>
      <c r="C51" s="27" t="str">
        <f t="shared" si="5"/>
        <v/>
      </c>
      <c r="D51" s="27" t="str">
        <f t="shared" si="6"/>
        <v/>
      </c>
    </row>
    <row r="52" spans="1:4">
      <c r="A52" t="str">
        <f t="shared" si="3"/>
        <v>May</v>
      </c>
      <c r="B52" s="27" t="str">
        <f t="shared" si="4"/>
        <v/>
      </c>
      <c r="C52" s="27" t="str">
        <f t="shared" si="5"/>
        <v/>
      </c>
      <c r="D52" s="27" t="str">
        <f t="shared" si="6"/>
        <v/>
      </c>
    </row>
    <row r="53" spans="1:4">
      <c r="A53" t="str">
        <f t="shared" si="3"/>
        <v>Jun</v>
      </c>
      <c r="B53" s="27" t="str">
        <f t="shared" si="4"/>
        <v/>
      </c>
      <c r="C53" s="27" t="str">
        <f t="shared" si="5"/>
        <v/>
      </c>
      <c r="D53" s="27" t="str">
        <f t="shared" si="6"/>
        <v/>
      </c>
    </row>
    <row r="54" spans="1:4">
      <c r="A54" t="str">
        <f t="shared" si="3"/>
        <v>Jul</v>
      </c>
      <c r="B54" s="27" t="str">
        <f t="shared" si="4"/>
        <v/>
      </c>
      <c r="C54" s="27" t="str">
        <f t="shared" si="5"/>
        <v/>
      </c>
      <c r="D54" s="27" t="str">
        <f t="shared" si="6"/>
        <v/>
      </c>
    </row>
    <row r="55" spans="1:4">
      <c r="A55" t="str">
        <f t="shared" si="3"/>
        <v>Aug</v>
      </c>
      <c r="B55" s="27" t="str">
        <f t="shared" si="4"/>
        <v/>
      </c>
      <c r="C55" s="27" t="str">
        <f t="shared" si="5"/>
        <v/>
      </c>
      <c r="D55" s="27" t="str">
        <f t="shared" si="6"/>
        <v/>
      </c>
    </row>
    <row r="56" spans="1:4">
      <c r="A56" t="str">
        <f t="shared" si="3"/>
        <v>Sep</v>
      </c>
      <c r="B56" s="27" t="str">
        <f t="shared" si="4"/>
        <v/>
      </c>
      <c r="C56" s="27" t="str">
        <f t="shared" si="5"/>
        <v/>
      </c>
      <c r="D56" s="27" t="str">
        <f t="shared" si="6"/>
        <v/>
      </c>
    </row>
    <row r="57" spans="1:4">
      <c r="A57" t="str">
        <f t="shared" si="3"/>
        <v>Oct</v>
      </c>
      <c r="B57" s="27" t="str">
        <f t="shared" si="4"/>
        <v/>
      </c>
      <c r="C57" s="27" t="str">
        <f t="shared" si="5"/>
        <v/>
      </c>
      <c r="D57" s="27" t="str">
        <f t="shared" si="6"/>
        <v/>
      </c>
    </row>
    <row r="58" spans="1:4">
      <c r="A58" t="str">
        <f t="shared" si="3"/>
        <v>Nov</v>
      </c>
      <c r="B58" s="27" t="str">
        <f t="shared" si="4"/>
        <v/>
      </c>
      <c r="C58" s="27" t="str">
        <f t="shared" si="5"/>
        <v/>
      </c>
      <c r="D58" s="27" t="str">
        <f t="shared" si="6"/>
        <v/>
      </c>
    </row>
    <row r="59" spans="1:4">
      <c r="A59" t="str">
        <f t="shared" si="3"/>
        <v>Dec</v>
      </c>
      <c r="B59" s="27" t="str">
        <f t="shared" si="4"/>
        <v/>
      </c>
      <c r="C59" s="27" t="str">
        <f t="shared" si="5"/>
        <v/>
      </c>
      <c r="D59" s="27" t="str">
        <f t="shared" si="6"/>
        <v/>
      </c>
    </row>
    <row r="61" spans="1:4">
      <c r="A61" s="157" t="s">
        <v>292</v>
      </c>
    </row>
    <row r="62" spans="1:4">
      <c r="A62" t="s">
        <v>231</v>
      </c>
      <c r="B62" s="27" cm="1">
        <f t="array" ref="B62">LOOKUP(2,1/(B4:B15&lt;&gt;""),B4:B15)</f>
        <v>12600</v>
      </c>
    </row>
    <row r="63" spans="1:4">
      <c r="A63" t="s">
        <v>232</v>
      </c>
      <c r="B63" s="27" cm="1">
        <f t="array" ref="B63">LOOKUP(2,1/(C4:C15&lt;&gt;""),C4:C15)</f>
        <v>33962.449999999997</v>
      </c>
    </row>
    <row r="64" spans="1:4">
      <c r="A64" t="s">
        <v>233</v>
      </c>
      <c r="B64" s="27" cm="1">
        <f t="array" ref="B64">LOOKUP(2,1/(D4:D15&lt;&gt;""),D4:D15)</f>
        <v>1850.45</v>
      </c>
    </row>
    <row r="65" spans="1:2">
      <c r="A65" t="s">
        <v>234</v>
      </c>
      <c r="B65" s="27" cm="1">
        <f t="array" ref="B65">IFERROR(LOOKUP(2,1/(E4:E15&lt;&gt;""),E4:E15),0)</f>
        <v>0</v>
      </c>
    </row>
  </sheetData>
  <phoneticPr fontId="6" type="noConversion"/>
  <conditionalFormatting sqref="K13:L96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71AC-F20B-4FF9-94F1-7DE36D978194}">
  <dimension ref="A1:D70"/>
  <sheetViews>
    <sheetView workbookViewId="0"/>
  </sheetViews>
  <sheetFormatPr defaultRowHeight="12.75"/>
  <cols>
    <col min="1" max="1" width="27.140625" bestFit="1" customWidth="1"/>
    <col min="2" max="2" width="33.28515625" customWidth="1"/>
    <col min="3" max="3" width="57.42578125" customWidth="1"/>
    <col min="4" max="4" width="37" customWidth="1"/>
  </cols>
  <sheetData>
    <row r="1" spans="1:4" ht="14.25">
      <c r="A1" s="37" t="s">
        <v>293</v>
      </c>
      <c r="B1" s="37" t="s">
        <v>99</v>
      </c>
    </row>
    <row r="2" spans="1:4">
      <c r="A2" t="s">
        <v>294</v>
      </c>
      <c r="B2">
        <v>1</v>
      </c>
    </row>
    <row r="3" spans="1:4">
      <c r="A3" t="s">
        <v>295</v>
      </c>
      <c r="B3">
        <v>0.435</v>
      </c>
    </row>
    <row r="4" spans="1:4">
      <c r="A4" t="s">
        <v>296</v>
      </c>
      <c r="B4">
        <v>30.4</v>
      </c>
    </row>
    <row r="5" spans="1:4">
      <c r="A5" t="s">
        <v>297</v>
      </c>
      <c r="B5" s="20">
        <v>22</v>
      </c>
    </row>
    <row r="6" spans="1:4">
      <c r="A6" t="s">
        <v>298</v>
      </c>
      <c r="B6">
        <v>700</v>
      </c>
    </row>
    <row r="7" spans="1:4">
      <c r="A7" t="s">
        <v>299</v>
      </c>
      <c r="B7">
        <v>6000</v>
      </c>
    </row>
    <row r="8" spans="1:4">
      <c r="A8" t="s">
        <v>300</v>
      </c>
      <c r="B8">
        <v>400</v>
      </c>
    </row>
    <row r="9" spans="1:4">
      <c r="A9" t="s">
        <v>301</v>
      </c>
      <c r="B9" s="20">
        <v>600</v>
      </c>
    </row>
    <row r="10" spans="1:4">
      <c r="A10" t="s">
        <v>302</v>
      </c>
      <c r="B10" s="20">
        <v>3220</v>
      </c>
    </row>
    <row r="11" spans="1:4">
      <c r="A11" t="s">
        <v>303</v>
      </c>
      <c r="B11" s="20">
        <v>15000</v>
      </c>
    </row>
    <row r="12" spans="1:4">
      <c r="A12" t="s">
        <v>304</v>
      </c>
      <c r="B12" s="45">
        <v>7.0000000000000007E-2</v>
      </c>
    </row>
    <row r="13" spans="1:4">
      <c r="A13" t="s">
        <v>305</v>
      </c>
      <c r="B13" s="20">
        <v>400</v>
      </c>
    </row>
    <row r="14" spans="1:4">
      <c r="A14" t="s">
        <v>306</v>
      </c>
      <c r="B14" s="22">
        <v>0.5</v>
      </c>
    </row>
    <row r="15" spans="1:4">
      <c r="A15" s="47" t="s">
        <v>307</v>
      </c>
      <c r="B15" s="48" t="b">
        <v>1</v>
      </c>
    </row>
    <row r="16" spans="1:4" ht="14.25">
      <c r="A16" s="37" t="s">
        <v>308</v>
      </c>
      <c r="B16" s="19"/>
      <c r="C16" s="19"/>
      <c r="D16" s="19"/>
    </row>
    <row r="17" spans="1:4">
      <c r="A17" s="17" t="s">
        <v>309</v>
      </c>
    </row>
    <row r="19" spans="1:4">
      <c r="A19" s="38" t="s">
        <v>59</v>
      </c>
      <c r="B19" s="38" t="s">
        <v>310</v>
      </c>
      <c r="C19" s="38" t="s">
        <v>311</v>
      </c>
      <c r="D19" s="38" t="s">
        <v>121</v>
      </c>
    </row>
    <row r="20" spans="1:4">
      <c r="A20">
        <v>1</v>
      </c>
      <c r="B20" t="s">
        <v>312</v>
      </c>
      <c r="C20" t="s">
        <v>313</v>
      </c>
      <c r="D20" s="29" t="str">
        <f ca="1">IF(Dashboard!B15=Dashboard!B11,"✅ PASS","❌ FAIL")</f>
        <v>✅ PASS</v>
      </c>
    </row>
    <row r="21" spans="1:4">
      <c r="A21">
        <v>2</v>
      </c>
      <c r="B21" t="s">
        <v>314</v>
      </c>
      <c r="C21" t="s">
        <v>315</v>
      </c>
      <c r="D21" s="29" t="str">
        <f>IF(_xlfn.ISFORMULA(Dashboard!B22),"✅ PASS","❌ FAIL")</f>
        <v>✅ PASS</v>
      </c>
    </row>
    <row r="22" spans="1:4">
      <c r="A22">
        <v>3</v>
      </c>
      <c r="B22" t="s">
        <v>316</v>
      </c>
      <c r="C22" t="s">
        <v>317</v>
      </c>
      <c r="D22" s="29" t="str">
        <f>IF(_xlfn.ISFORMULA(Dashboard!B54),"✅ PASS","❌ FAIL")</f>
        <v>✅ PASS</v>
      </c>
    </row>
    <row r="23" spans="1:4">
      <c r="A23">
        <v>4</v>
      </c>
      <c r="B23" t="s">
        <v>318</v>
      </c>
      <c r="C23" t="s">
        <v>319</v>
      </c>
      <c r="D23" s="29" t="str">
        <f>IF(_xlfn.ISFORMULA(Bills!D2),"✅ PASS","❌ FAIL")</f>
        <v>✅ PASS</v>
      </c>
    </row>
    <row r="24" spans="1:4">
      <c r="A24">
        <v>5</v>
      </c>
      <c r="B24" t="s">
        <v>320</v>
      </c>
      <c r="C24" t="s">
        <v>321</v>
      </c>
      <c r="D24" s="29" t="str">
        <f>IF(Bills!F6=FALSE,"✅ PASS","❌ FAIL")</f>
        <v>✅ PASS</v>
      </c>
    </row>
    <row r="25" spans="1:4">
      <c r="A25">
        <v>6</v>
      </c>
      <c r="B25" t="s">
        <v>322</v>
      </c>
      <c r="C25" t="s">
        <v>323</v>
      </c>
      <c r="D25" s="29" t="str">
        <f>IF(AND(Bills!B4=21,Bills!C4=3,Bills!F4=TRUE),"✅ PASS","❌ FAIL")</f>
        <v>✅ PASS</v>
      </c>
    </row>
    <row r="26" spans="1:4">
      <c r="A26">
        <v>7</v>
      </c>
      <c r="B26" t="s">
        <v>69</v>
      </c>
      <c r="C26" t="s">
        <v>324</v>
      </c>
      <c r="D26" s="29" t="str">
        <f>IF(OR(_xlfn.ISFORMULA(Dashboard!B33),Dashboard!B33=0),"✅ PASS","❌ FAIL")</f>
        <v>✅ PASS</v>
      </c>
    </row>
    <row r="27" spans="1:4">
      <c r="A27">
        <v>8</v>
      </c>
      <c r="B27" t="s">
        <v>325</v>
      </c>
      <c r="C27" t="s">
        <v>326</v>
      </c>
      <c r="D27" s="29" t="str">
        <f>IF(B8=400,"✅ PASS","❌ FAIL")</f>
        <v>✅ PASS</v>
      </c>
    </row>
    <row r="28" spans="1:4">
      <c r="A28">
        <v>9</v>
      </c>
      <c r="B28" t="s">
        <v>327</v>
      </c>
      <c r="C28" t="s">
        <v>328</v>
      </c>
      <c r="D28" s="29" t="str">
        <f>IF(_xlfn.ISFORMULA(Dashboard!B62),"✅ PASS","❌ FAIL")</f>
        <v>✅ PASS</v>
      </c>
    </row>
    <row r="29" spans="1:4">
      <c r="A29">
        <v>10</v>
      </c>
      <c r="B29" t="s">
        <v>329</v>
      </c>
      <c r="C29" t="s">
        <v>330</v>
      </c>
      <c r="D29" s="29" t="str">
        <f>IF(_xlfn.ISFORMULA('Wealth Management 2026'!J16),"✅ PASS","❌ FAIL")</f>
        <v>✅ PASS</v>
      </c>
    </row>
    <row r="31" spans="1:4" ht="14.25">
      <c r="A31" s="29" t="s">
        <v>331</v>
      </c>
      <c r="D31" s="36" t="str">
        <f ca="1">IF(COUNTIF(D20:D29,"❌ FAIL")&gt;0,"❌ "&amp;COUNTIF(D20:D29,"❌ FAIL")&amp;" CHECK(S) FAILED","✅ ALL 10 CHECKS PASS")</f>
        <v>✅ ALL 10 CHECKS PASS</v>
      </c>
    </row>
    <row r="32" spans="1:4">
      <c r="A32" t="s">
        <v>332</v>
      </c>
      <c r="D32" s="39" t="str">
        <f ca="1">TEXT(TODAY(),"yyyy-mm-dd")</f>
        <v>2026-03-23</v>
      </c>
    </row>
    <row r="34" spans="1:4" ht="13.5">
      <c r="A34" s="18" t="s">
        <v>333</v>
      </c>
      <c r="B34" s="19"/>
    </row>
    <row r="35" spans="1:4">
      <c r="A35" t="s">
        <v>334</v>
      </c>
      <c r="B35" s="21">
        <v>54000</v>
      </c>
    </row>
    <row r="36" spans="1:4">
      <c r="A36" t="s">
        <v>335</v>
      </c>
      <c r="B36" s="22">
        <v>0.12</v>
      </c>
    </row>
    <row r="37" spans="1:4">
      <c r="A37" t="s">
        <v>336</v>
      </c>
      <c r="B37" s="22">
        <v>0.04</v>
      </c>
    </row>
    <row r="38" spans="1:4">
      <c r="A38" t="s">
        <v>337</v>
      </c>
      <c r="B38" s="27">
        <f>B35*(B36+B37)</f>
        <v>8640</v>
      </c>
    </row>
    <row r="39" spans="1:4">
      <c r="A39" t="s">
        <v>338</v>
      </c>
      <c r="B39" s="20">
        <v>24</v>
      </c>
    </row>
    <row r="40" spans="1:4">
      <c r="A40" t="s">
        <v>339</v>
      </c>
      <c r="B40" s="33">
        <f>B38/B39</f>
        <v>360</v>
      </c>
    </row>
    <row r="41" spans="1:4">
      <c r="A41" t="s">
        <v>340</v>
      </c>
      <c r="B41" s="34">
        <f>B38/12</f>
        <v>720</v>
      </c>
    </row>
    <row r="43" spans="1:4">
      <c r="A43" s="17" t="s">
        <v>341</v>
      </c>
    </row>
    <row r="44" spans="1:4">
      <c r="A44" s="17" t="s">
        <v>342</v>
      </c>
    </row>
    <row r="46" spans="1:4" ht="13.5">
      <c r="A46" s="18" t="s">
        <v>343</v>
      </c>
      <c r="B46" s="19"/>
      <c r="C46" s="19"/>
      <c r="D46" s="19"/>
    </row>
    <row r="47" spans="1:4">
      <c r="A47" s="38" t="s">
        <v>344</v>
      </c>
      <c r="B47" s="38" t="s">
        <v>345</v>
      </c>
      <c r="C47" s="38" t="s">
        <v>346</v>
      </c>
      <c r="D47" s="38" t="s">
        <v>347</v>
      </c>
    </row>
    <row r="48" spans="1:4">
      <c r="A48" t="s">
        <v>348</v>
      </c>
      <c r="B48" s="41">
        <v>141.94999999999999</v>
      </c>
      <c r="C48" s="20"/>
      <c r="D48" s="40"/>
    </row>
    <row r="49" spans="1:4">
      <c r="A49" t="s">
        <v>349</v>
      </c>
      <c r="B49" s="41"/>
      <c r="C49" s="20"/>
      <c r="D49" s="40"/>
    </row>
    <row r="50" spans="1:4">
      <c r="A50" t="s">
        <v>350</v>
      </c>
      <c r="B50" s="41"/>
      <c r="C50" s="20"/>
      <c r="D50" s="40"/>
    </row>
    <row r="51" spans="1:4">
      <c r="A51" t="s">
        <v>351</v>
      </c>
      <c r="B51" s="41"/>
      <c r="C51" s="20"/>
      <c r="D51" s="40"/>
    </row>
    <row r="53" spans="1:4" ht="13.5">
      <c r="A53" s="18" t="s">
        <v>352</v>
      </c>
      <c r="B53" s="19"/>
    </row>
    <row r="54" spans="1:4">
      <c r="A54" t="s">
        <v>353</v>
      </c>
      <c r="B54" s="21">
        <v>54000</v>
      </c>
    </row>
    <row r="55" spans="1:4">
      <c r="A55" t="s">
        <v>354</v>
      </c>
      <c r="B55" s="21">
        <v>65000</v>
      </c>
    </row>
    <row r="56" spans="1:4">
      <c r="A56" t="s">
        <v>355</v>
      </c>
      <c r="B56" s="26">
        <f>(B55-B54)*(1-B36-B37)/12</f>
        <v>770</v>
      </c>
    </row>
    <row r="57" spans="1:4">
      <c r="A57" t="s">
        <v>356</v>
      </c>
      <c r="B57" s="26">
        <f>Dashboard!B54+B56</f>
        <v>3990</v>
      </c>
    </row>
    <row r="58" spans="1:4">
      <c r="A58" t="s">
        <v>357</v>
      </c>
      <c r="B58" s="25">
        <f>Dashboard!B57</f>
        <v>1523.95</v>
      </c>
    </row>
    <row r="59" spans="1:4">
      <c r="A59" t="s">
        <v>358</v>
      </c>
      <c r="B59" s="34">
        <f>B57-B58</f>
        <v>2466.0500000000002</v>
      </c>
    </row>
    <row r="60" spans="1:4">
      <c r="A60" t="s">
        <v>359</v>
      </c>
      <c r="B60" s="34">
        <f>B56</f>
        <v>770</v>
      </c>
    </row>
    <row r="63" spans="1:4" ht="13.5">
      <c r="A63" s="18" t="s">
        <v>360</v>
      </c>
      <c r="B63" s="19"/>
      <c r="C63" s="19"/>
      <c r="D63" s="19"/>
    </row>
    <row r="64" spans="1:4">
      <c r="A64" s="38" t="s">
        <v>361</v>
      </c>
      <c r="B64" s="38" t="s">
        <v>362</v>
      </c>
      <c r="C64" s="38" t="s">
        <v>363</v>
      </c>
      <c r="D64" s="38" t="s">
        <v>364</v>
      </c>
    </row>
    <row r="65" spans="1:4">
      <c r="A65" s="44">
        <v>46103</v>
      </c>
      <c r="B65" s="20" t="s">
        <v>365</v>
      </c>
      <c r="C65" s="20" t="s">
        <v>366</v>
      </c>
      <c r="D65" s="20" t="s">
        <v>367</v>
      </c>
    </row>
    <row r="66" spans="1:4">
      <c r="A66" s="20"/>
      <c r="B66" s="20"/>
      <c r="C66" s="20"/>
      <c r="D66" s="20"/>
    </row>
    <row r="67" spans="1:4">
      <c r="A67" s="20"/>
      <c r="B67" s="20"/>
      <c r="C67" s="20"/>
      <c r="D67" s="20"/>
    </row>
    <row r="68" spans="1:4">
      <c r="A68" s="20"/>
      <c r="B68" s="20"/>
      <c r="C68" s="20"/>
      <c r="D68" s="20"/>
    </row>
    <row r="69" spans="1:4">
      <c r="A69" s="20"/>
      <c r="B69" s="20"/>
      <c r="C69" s="20"/>
      <c r="D69" s="20"/>
    </row>
    <row r="70" spans="1:4">
      <c r="A70" s="20"/>
      <c r="B70" s="20"/>
      <c r="C70" s="20"/>
      <c r="D70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1DD2-6C6F-4A3D-B610-0964D88B983A}">
  <dimension ref="A1:B64"/>
  <sheetViews>
    <sheetView workbookViewId="0"/>
  </sheetViews>
  <sheetFormatPr defaultRowHeight="12.75"/>
  <cols>
    <col min="1" max="1" width="57.42578125" customWidth="1"/>
    <col min="2" max="2" width="37" customWidth="1"/>
  </cols>
  <sheetData>
    <row r="1" spans="1:2" ht="18">
      <c r="A1" s="16" t="s">
        <v>368</v>
      </c>
    </row>
    <row r="2" spans="1:2">
      <c r="A2" s="17" t="s">
        <v>369</v>
      </c>
    </row>
    <row r="4" spans="1:2" ht="13.5">
      <c r="A4" s="18" t="s">
        <v>370</v>
      </c>
      <c r="B4" s="19"/>
    </row>
    <row r="5" spans="1:2">
      <c r="A5" t="s">
        <v>371</v>
      </c>
      <c r="B5" s="20"/>
    </row>
    <row r="6" spans="1:2">
      <c r="A6" t="s">
        <v>372</v>
      </c>
      <c r="B6" s="21">
        <v>30000</v>
      </c>
    </row>
    <row r="7" spans="1:2">
      <c r="A7" t="s">
        <v>373</v>
      </c>
      <c r="B7" s="22">
        <v>5.5E-2</v>
      </c>
    </row>
    <row r="8" spans="1:2">
      <c r="A8" t="s">
        <v>374</v>
      </c>
      <c r="B8" s="20" t="s">
        <v>375</v>
      </c>
    </row>
    <row r="9" spans="1:2">
      <c r="A9" t="s">
        <v>376</v>
      </c>
      <c r="B9" s="20"/>
    </row>
    <row r="10" spans="1:2">
      <c r="A10" t="s">
        <v>377</v>
      </c>
      <c r="B10" s="20" t="s">
        <v>378</v>
      </c>
    </row>
    <row r="11" spans="1:2">
      <c r="A11" t="s">
        <v>379</v>
      </c>
      <c r="B11" s="21">
        <v>0</v>
      </c>
    </row>
    <row r="12" spans="1:2">
      <c r="A12" t="s">
        <v>380</v>
      </c>
      <c r="B12" s="23">
        <v>10</v>
      </c>
    </row>
    <row r="13" spans="1:2">
      <c r="A13" t="s">
        <v>381</v>
      </c>
      <c r="B13" s="42">
        <f>Assumptions!B12</f>
        <v>7.0000000000000007E-2</v>
      </c>
    </row>
    <row r="14" spans="1:2">
      <c r="A14" t="s">
        <v>334</v>
      </c>
      <c r="B14" s="21">
        <v>54000</v>
      </c>
    </row>
    <row r="15" spans="1:2">
      <c r="A15" t="s">
        <v>382</v>
      </c>
      <c r="B15" s="21">
        <v>3220</v>
      </c>
    </row>
    <row r="16" spans="1:2">
      <c r="A16" t="s">
        <v>357</v>
      </c>
      <c r="B16" s="25">
        <f>Dashboard!B57</f>
        <v>1523.95</v>
      </c>
    </row>
    <row r="18" spans="1:2" ht="13.5">
      <c r="A18" s="18" t="s">
        <v>383</v>
      </c>
      <c r="B18" s="19"/>
    </row>
    <row r="19" spans="1:2">
      <c r="A19" t="s">
        <v>384</v>
      </c>
      <c r="B19" s="26">
        <f>PMT(B7/12,B12*12,-B6)</f>
        <v>325.57883388144222</v>
      </c>
    </row>
    <row r="20" spans="1:2">
      <c r="A20" t="s">
        <v>385</v>
      </c>
      <c r="B20" s="27">
        <f>B19*B12*12</f>
        <v>39069.46006577307</v>
      </c>
    </row>
    <row r="21" spans="1:2">
      <c r="A21" t="s">
        <v>386</v>
      </c>
      <c r="B21" s="27">
        <f>B20-B6</f>
        <v>9069.4600657730698</v>
      </c>
    </row>
    <row r="23" spans="1:2">
      <c r="A23" t="s">
        <v>387</v>
      </c>
      <c r="B23" s="23">
        <v>25</v>
      </c>
    </row>
    <row r="24" spans="1:2">
      <c r="A24" t="s">
        <v>388</v>
      </c>
      <c r="B24" s="26">
        <f>PMT(B7/12,B23*12,-B6)</f>
        <v>184.22624768444106</v>
      </c>
    </row>
    <row r="25" spans="1:2">
      <c r="A25" t="s">
        <v>389</v>
      </c>
      <c r="B25" s="27">
        <f>B24*B23*12</f>
        <v>55267.874305332327</v>
      </c>
    </row>
    <row r="26" spans="1:2">
      <c r="A26" t="s">
        <v>390</v>
      </c>
      <c r="B26" s="27">
        <f>B25-B6</f>
        <v>25267.874305332327</v>
      </c>
    </row>
    <row r="28" spans="1:2">
      <c r="A28" t="s">
        <v>391</v>
      </c>
      <c r="B28" s="28">
        <f>B26-B21</f>
        <v>16198.414239559257</v>
      </c>
    </row>
    <row r="30" spans="1:2" ht="13.5">
      <c r="A30" s="18" t="s">
        <v>392</v>
      </c>
      <c r="B30" s="19"/>
    </row>
    <row r="32" spans="1:2">
      <c r="A32" s="29" t="s">
        <v>393</v>
      </c>
      <c r="B32" s="29" t="s">
        <v>394</v>
      </c>
    </row>
    <row r="33" spans="1:2">
      <c r="A33" t="s">
        <v>395</v>
      </c>
      <c r="B33" s="26">
        <f>PMT(B7/12,3*12,-B6)</f>
        <v>905.87705412930859</v>
      </c>
    </row>
    <row r="34" spans="1:2">
      <c r="A34" t="s">
        <v>396</v>
      </c>
      <c r="B34" s="27">
        <f>(B33*36)-B6</f>
        <v>2611.5739486551101</v>
      </c>
    </row>
    <row r="35" spans="1:2">
      <c r="A35" t="s">
        <v>397</v>
      </c>
      <c r="B35" s="27">
        <f>B21-B34</f>
        <v>6457.8861171179597</v>
      </c>
    </row>
    <row r="37" spans="1:2">
      <c r="A37" s="29" t="s">
        <v>393</v>
      </c>
      <c r="B37" s="29" t="s">
        <v>398</v>
      </c>
    </row>
    <row r="38" spans="1:2">
      <c r="A38" t="s">
        <v>395</v>
      </c>
      <c r="B38" s="26">
        <f>PMT(B7/12,5*12,-B6)</f>
        <v>573.03486515346731</v>
      </c>
    </row>
    <row r="39" spans="1:2">
      <c r="A39" t="s">
        <v>396</v>
      </c>
      <c r="B39" s="27">
        <f>(B38*60)-B6</f>
        <v>4382.0919092080367</v>
      </c>
    </row>
    <row r="40" spans="1:2">
      <c r="A40" t="s">
        <v>397</v>
      </c>
      <c r="B40" s="27">
        <f>B21-B39</f>
        <v>4687.3681565650331</v>
      </c>
    </row>
    <row r="42" spans="1:2">
      <c r="A42" s="29" t="s">
        <v>393</v>
      </c>
      <c r="B42" s="29" t="s">
        <v>399</v>
      </c>
    </row>
    <row r="43" spans="1:2">
      <c r="A43" t="s">
        <v>395</v>
      </c>
      <c r="B43" s="26">
        <f>PMT(B7/12,7*12,-B6)</f>
        <v>431.10127954178898</v>
      </c>
    </row>
    <row r="44" spans="1:2">
      <c r="A44" t="s">
        <v>396</v>
      </c>
      <c r="B44" s="27">
        <f>(B43*84)-B6</f>
        <v>6212.507481510278</v>
      </c>
    </row>
    <row r="45" spans="1:2">
      <c r="A45" t="s">
        <v>397</v>
      </c>
      <c r="B45" s="27">
        <f>B21-B44</f>
        <v>2856.9525842627918</v>
      </c>
    </row>
    <row r="47" spans="1:2" ht="13.5">
      <c r="A47" s="18" t="s">
        <v>400</v>
      </c>
      <c r="B47" s="19"/>
    </row>
    <row r="48" spans="1:2">
      <c r="A48" t="s">
        <v>401</v>
      </c>
      <c r="B48" s="25">
        <f>B15-B16</f>
        <v>1696.05</v>
      </c>
    </row>
    <row r="50" spans="1:2">
      <c r="A50" t="s">
        <v>402</v>
      </c>
      <c r="B50" s="26">
        <f>B48-B33</f>
        <v>790.17294587069136</v>
      </c>
    </row>
    <row r="51" spans="1:2">
      <c r="A51" t="s">
        <v>403</v>
      </c>
      <c r="B51" s="26">
        <f>B48-B38</f>
        <v>1123.0151348465326</v>
      </c>
    </row>
    <row r="52" spans="1:2">
      <c r="A52" t="s">
        <v>404</v>
      </c>
      <c r="B52" s="26">
        <f>B48-B43</f>
        <v>1264.948720458211</v>
      </c>
    </row>
    <row r="53" spans="1:2">
      <c r="A53" t="s">
        <v>405</v>
      </c>
      <c r="B53" s="26">
        <f>B48-B19</f>
        <v>1370.4711661185577</v>
      </c>
    </row>
    <row r="55" spans="1:2" ht="13.5">
      <c r="A55" s="18" t="s">
        <v>406</v>
      </c>
      <c r="B55" s="19"/>
    </row>
    <row r="56" spans="1:2">
      <c r="A56" t="s">
        <v>407</v>
      </c>
    </row>
    <row r="57" spans="1:2">
      <c r="A57" t="s">
        <v>408</v>
      </c>
      <c r="B57" s="26">
        <f>B33-B19</f>
        <v>580.29822024786631</v>
      </c>
    </row>
    <row r="58" spans="1:2">
      <c r="A58" t="s">
        <v>409</v>
      </c>
      <c r="B58" s="27">
        <f>FV(B13/12,B12*12,-B57)</f>
        <v>100440.80570562607</v>
      </c>
    </row>
    <row r="59" spans="1:2">
      <c r="A59" t="s">
        <v>410</v>
      </c>
      <c r="B59" s="27">
        <f>B35</f>
        <v>6457.8861171179597</v>
      </c>
    </row>
    <row r="60" spans="1:2">
      <c r="A60" t="s">
        <v>411</v>
      </c>
      <c r="B60" s="28">
        <f>B58-B59</f>
        <v>93982.919588508114</v>
      </c>
    </row>
    <row r="62" spans="1:2" ht="13.5">
      <c r="A62" s="30" t="s">
        <v>412</v>
      </c>
      <c r="B62" s="31" t="str">
        <f>IF(B60&gt;0,"INVEST the difference — market return beats interest savings by $"&amp;TEXT(B60,"#,##0"),"PAY AGGRESSIVELY — interest savings beat market return by $"&amp;TEXT(ABS(B60),"#,##0"))</f>
        <v>INVEST the difference — market return beats interest savings by $93,983</v>
      </c>
    </row>
    <row r="64" spans="1:2">
      <c r="A64" s="17" t="s">
        <v>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BC0B-E736-4060-A360-EB5B7263E950}">
  <dimension ref="A1:B52"/>
  <sheetViews>
    <sheetView workbookViewId="0"/>
  </sheetViews>
  <sheetFormatPr defaultRowHeight="12.75"/>
  <cols>
    <col min="1" max="1" width="57.42578125" customWidth="1"/>
    <col min="2" max="2" width="46.28515625" customWidth="1"/>
  </cols>
  <sheetData>
    <row r="1" spans="1:2" ht="18">
      <c r="A1" s="14" t="s">
        <v>414</v>
      </c>
    </row>
    <row r="2" spans="1:2">
      <c r="A2" s="17" t="s">
        <v>415</v>
      </c>
    </row>
    <row r="4" spans="1:2" ht="13.5">
      <c r="A4" s="18" t="s">
        <v>416</v>
      </c>
      <c r="B4" s="19"/>
    </row>
    <row r="5" spans="1:2">
      <c r="A5" t="s">
        <v>334</v>
      </c>
      <c r="B5" s="21">
        <v>54000</v>
      </c>
    </row>
    <row r="6" spans="1:2">
      <c r="A6" t="s">
        <v>417</v>
      </c>
      <c r="B6" s="22">
        <v>0.03</v>
      </c>
    </row>
    <row r="7" spans="1:2">
      <c r="A7" t="s">
        <v>418</v>
      </c>
      <c r="B7" s="22">
        <v>0.04</v>
      </c>
    </row>
    <row r="8" spans="1:2">
      <c r="A8" t="s">
        <v>419</v>
      </c>
      <c r="B8" s="22">
        <v>0.04</v>
      </c>
    </row>
    <row r="9" spans="1:2">
      <c r="A9" t="s">
        <v>420</v>
      </c>
      <c r="B9" s="21">
        <v>1550</v>
      </c>
    </row>
    <row r="10" spans="1:2">
      <c r="A10" t="s">
        <v>279</v>
      </c>
      <c r="B10" s="23">
        <v>30</v>
      </c>
    </row>
    <row r="11" spans="1:2">
      <c r="A11" t="s">
        <v>421</v>
      </c>
      <c r="B11" s="23">
        <v>65</v>
      </c>
    </row>
    <row r="12" spans="1:2">
      <c r="A12" t="s">
        <v>422</v>
      </c>
      <c r="B12" s="42">
        <f>Assumptions!B12</f>
        <v>7.0000000000000007E-2</v>
      </c>
    </row>
    <row r="13" spans="1:2">
      <c r="A13" t="s">
        <v>423</v>
      </c>
      <c r="B13" s="22">
        <v>0.09</v>
      </c>
    </row>
    <row r="16" spans="1:2">
      <c r="A16" t="s">
        <v>424</v>
      </c>
      <c r="B16" s="32">
        <f>B11-B10</f>
        <v>35</v>
      </c>
    </row>
    <row r="18" spans="1:2" ht="13.5">
      <c r="A18" s="18" t="s">
        <v>425</v>
      </c>
      <c r="B18" s="19"/>
    </row>
    <row r="19" spans="1:2">
      <c r="A19" t="s">
        <v>426</v>
      </c>
      <c r="B19" s="27">
        <f>B5*B6</f>
        <v>1620</v>
      </c>
    </row>
    <row r="20" spans="1:2">
      <c r="A20" t="s">
        <v>427</v>
      </c>
      <c r="B20" s="26">
        <f>B19/12</f>
        <v>135</v>
      </c>
    </row>
    <row r="21" spans="1:2">
      <c r="A21" t="s">
        <v>428</v>
      </c>
      <c r="B21" s="27">
        <f>B5*MIN(B6,B8)*B7/B8</f>
        <v>1620</v>
      </c>
    </row>
    <row r="22" spans="1:2">
      <c r="A22" t="s">
        <v>429</v>
      </c>
      <c r="B22" s="27">
        <f>B5*B8</f>
        <v>2160</v>
      </c>
    </row>
    <row r="24" spans="1:2">
      <c r="A24" t="s">
        <v>430</v>
      </c>
      <c r="B24" s="29" t="str">
        <f>IF(B6&lt;B8,"LEAVING $"&amp;TEXT(B22-B21,"#,##0")&amp;" FREE MONEY ON THE TABLE — increase contribution to "&amp;TEXT(B8,"0%")&amp;" to capture full match","✅ Full match captured")</f>
        <v>LEAVING $540 FREE MONEY ON THE TABLE — increase contribution to 4% to capture full match</v>
      </c>
    </row>
    <row r="26" spans="1:2">
      <c r="A26" t="s">
        <v>431</v>
      </c>
      <c r="B26" s="33">
        <f>B19/24</f>
        <v>67.5</v>
      </c>
    </row>
    <row r="27" spans="1:2">
      <c r="A27" s="17" t="s">
        <v>432</v>
      </c>
    </row>
    <row r="29" spans="1:2">
      <c r="A29" t="s">
        <v>433</v>
      </c>
      <c r="B29" s="28">
        <f>B19+B21</f>
        <v>3240</v>
      </c>
    </row>
    <row r="31" spans="1:2" ht="13.5">
      <c r="A31" s="18" t="s">
        <v>434</v>
      </c>
      <c r="B31" s="19"/>
    </row>
    <row r="32" spans="1:2">
      <c r="A32" t="s">
        <v>435</v>
      </c>
    </row>
    <row r="34" spans="1:2">
      <c r="A34" t="s">
        <v>436</v>
      </c>
    </row>
    <row r="35" spans="1:2">
      <c r="A35" t="s">
        <v>437</v>
      </c>
      <c r="B35" s="27">
        <f>FV(B12,60-B10,-B19-B21,-B9)</f>
        <v>317851.94300505437</v>
      </c>
    </row>
    <row r="36" spans="1:2">
      <c r="A36" t="s">
        <v>438</v>
      </c>
      <c r="B36" s="27">
        <f>FV(B12,B16,-B19-B21,-B9)</f>
        <v>464436.18716049683</v>
      </c>
    </row>
    <row r="38" spans="1:2">
      <c r="A38" t="s">
        <v>439</v>
      </c>
      <c r="B38" s="29"/>
    </row>
    <row r="39" spans="1:2">
      <c r="A39" t="s">
        <v>437</v>
      </c>
      <c r="B39" s="27">
        <f>FV(B12,60-B10,-(B5*B8)-(B5*B8),-B9)</f>
        <v>419869.59223469713</v>
      </c>
    </row>
    <row r="40" spans="1:2">
      <c r="A40" t="s">
        <v>438</v>
      </c>
      <c r="B40" s="27">
        <f>FV(B12,B16,-(B5*B8)-(B5*B8),-B9)</f>
        <v>613732.01578027778</v>
      </c>
    </row>
    <row r="42" spans="1:2">
      <c r="A42" t="s">
        <v>440</v>
      </c>
      <c r="B42" s="29"/>
    </row>
    <row r="43" spans="1:2">
      <c r="A43" t="s">
        <v>437</v>
      </c>
      <c r="B43" s="27">
        <f>FV(B12,60-B10,-(B5*0.1)-(B5*MIN(0.1,B8)*B7/B8),-B9)</f>
        <v>725922.5399236253</v>
      </c>
    </row>
    <row r="44" spans="1:2">
      <c r="A44" t="s">
        <v>438</v>
      </c>
      <c r="B44" s="27">
        <f>FV(B12,B16,-(B5*0.1)-(B5*MIN(0.1,B8)*B7/B8),-B9)</f>
        <v>1061619.5016396206</v>
      </c>
    </row>
    <row r="46" spans="1:2" ht="13.5">
      <c r="A46" s="18" t="s">
        <v>441</v>
      </c>
      <c r="B46" s="19"/>
    </row>
    <row r="47" spans="1:2">
      <c r="A47" t="s">
        <v>442</v>
      </c>
      <c r="B47" s="21">
        <v>1000000</v>
      </c>
    </row>
    <row r="49" spans="1:2">
      <c r="A49" t="s">
        <v>443</v>
      </c>
      <c r="B49" s="34">
        <f>-PMT(B12/12,B16*12,-B9,B47)</f>
        <v>545.32797837542716</v>
      </c>
    </row>
    <row r="50" spans="1:2">
      <c r="A50" t="s">
        <v>444</v>
      </c>
      <c r="B50" s="35">
        <f>B49*12/B5</f>
        <v>0.12118399519453937</v>
      </c>
    </row>
    <row r="52" spans="1:2">
      <c r="A52" s="17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2026-03-23T19:48:20Z</dcterms:created>
  <dcterms:modified xsi:type="dcterms:W3CDTF">2026-03-24T00:00:06Z</dcterms:modified>
  <cp:category/>
  <cp:contentStatus/>
</cp:coreProperties>
</file>