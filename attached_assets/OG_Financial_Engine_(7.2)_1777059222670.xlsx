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metadata.xml" ContentType="application/vnd.openxmlformats-officedocument.spreadsheetml.sheetMetadata+xml"/>
  <Override PartName="/xl/charts/colors2.xml" ContentType="application/vnd.ms-office.chartcolorstyl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charts/chart2.xml" ContentType="application/vnd.openxmlformats-officedocument.drawingml.chart+xml"/>
  <Override PartName="/xl/threadedComments/threadedComment1.xml" ContentType="application/vnd.ms-excel.threaded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persons/person.xml" ContentType="application/vnd.ms-excel.person+xml"/>
  <Override PartName="/xl/charts/style2.xml" ContentType="application/vnd.ms-office.chartstyle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Bills" sheetId="1" state="visible" r:id="rId3"/>
    <sheet name="Dashboard" sheetId="2" state="visible" r:id="rId4"/>
    <sheet name="Commissions" sheetId="3" state="visible" r:id="rId5"/>
    <sheet name="Decision Sandbox" sheetId="4" state="visible" r:id="rId6"/>
    <sheet name="Wealth Management 2026" sheetId="5" state="visible" r:id="rId7"/>
    <sheet name="Assumptions" sheetId="6" state="visible" r:id="rId8"/>
    <sheet name="Debt Strategy" sheetId="7" state="visible" r:id="rId9"/>
    <sheet name="Retirement Planning" sheetId="8" state="visible" r:id="rId10"/>
  </sheets>
  <definedNames>
    <definedName name="_xlnm.Print_Area" localSheetId="1">Dashboard!$A$1:$C$33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tc={D197765A-FC62-4834-80E1-501BB15B14FD}</author>
    <author>tc={712A3366-1748-4B5F-A551-84BCE75A482B}</author>
    <author>tc={B45D732D-4989-4803-9887-855D6DBD7CF8}</author>
    <author>tc={CFE42927-7041-45C7-BC6F-6B8FEBE87411}</author>
    <author>tc={E30D4556-A9A8-4178-ADAC-7B251911CA4D}</author>
  </authors>
  <commentList>
    <comment ref="B14" authorId="0" xr:uid="{D197765A-FC62-4834-80E1-501BB15B14FD}">
      <text>
        <r>
          <rPr>
            <b/>
            <sz val="9"/>
            <rFont val="Tahoma"/>
          </rPr>
          <t xml:space="preserve">Marshall Roberts:</t>
        </r>
        <r>
          <rPr>
            <sz val="9"/>
            <rFont val="Tahoma"/>
          </rPr>
          <t xml:space="preserve">
Source: CarGurus listing #426326739, 2023 Toyota Camry SE AWD, 52,570 mi, accessed Mar 22 2026. https://www.cargurus.com/details/426326739
</t>
        </r>
      </text>
    </comment>
    <comment ref="C14" authorId="1" xr:uid="{712A3366-1748-4B5F-A551-84BCE75A482B}">
      <text>
        <r>
          <rPr>
            <b/>
            <sz val="9"/>
            <rFont val="Tahoma"/>
          </rPr>
          <t xml:space="preserve">Marshall Roberts:</t>
        </r>
        <r>
          <rPr>
            <sz val="9"/>
            <rFont val="Tahoma"/>
          </rPr>
          <t xml:space="preserve">
Source: CarGurus listing #440072860, 2023 Subaru Crosstrek, 72,574 mi, $19,721 incl. $221 delivery. https://www.cargurus.com/details/440072860
</t>
        </r>
      </text>
    </comment>
    <comment ref="B16" authorId="2" xr:uid="{B45D732D-4989-4803-9887-855D6DBD7CF8}">
      <text>
        <r>
          <rPr>
            <b/>
            <sz val="9"/>
            <rFont val="Tahoma"/>
          </rPr>
          <t xml:space="preserve">Marshall Roberts:</t>
        </r>
        <r>
          <rPr>
            <sz val="9"/>
            <rFont val="Tahoma"/>
          </rPr>
          <t xml:space="preserve">
Estimate: ~8% APR for prime-credit used car buyer. Experian Q4 2025 avg used = 11.26%, prime tier substantially lower. Pre-qualify to confirm.
</t>
        </r>
      </text>
    </comment>
    <comment ref="B18" authorId="3" xr:uid="{CFE42927-7041-45C7-BC6F-6B8FEBE87411}">
      <text>
        <r>
          <rPr>
            <b/>
            <sz val="9"/>
            <rFont val="Tahoma"/>
          </rPr>
          <t xml:space="preserve">Marshall Roberts:</t>
        </r>
        <r>
          <rPr>
            <sz val="9"/>
            <rFont val="Tahoma"/>
          </rPr>
          <t xml:space="preserve">
Estimate: Full coverage auto insurance, Buffalo NY, mid-20s male, 2023 sedan. Get actual quotes.
</t>
        </r>
      </text>
    </comment>
    <comment ref="C18" authorId="4" xr:uid="{E30D4556-A9A8-4178-ADAC-7B251911CA4D}">
      <text>
        <r>
          <rPr>
            <b/>
            <sz val="9"/>
            <rFont val="Tahoma"/>
          </rPr>
          <t xml:space="preserve">Marshall Roberts:</t>
        </r>
        <r>
          <rPr>
            <sz val="9"/>
            <rFont val="Tahoma"/>
          </rPr>
          <t xml:space="preserve">
Estimate: Full coverage auto insurance, Buffalo NY, mid-20s male, 2023 crossover. Get actual quotes.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<sst xmlns="http://schemas.openxmlformats.org/spreadsheetml/2006/main" count="446" uniqueCount="446">
  <si>
    <t xml:space="preserve">Bill Name</t>
  </si>
  <si>
    <t>Amount</t>
  </si>
  <si>
    <t xml:space="preserve">Due Day</t>
  </si>
  <si>
    <t xml:space="preserve">Next Due Date</t>
  </si>
  <si>
    <t>Frequency</t>
  </si>
  <si>
    <t>Include?</t>
  </si>
  <si>
    <t xml:space="preserve">Effective Due Date</t>
  </si>
  <si>
    <t xml:space="preserve">Counts This Cycle (True/False)</t>
  </si>
  <si>
    <t xml:space="preserve">Adjusted Due Date</t>
  </si>
  <si>
    <t>Category</t>
  </si>
  <si>
    <t>Autopay?</t>
  </si>
  <si>
    <t xml:space="preserve">Last Paid</t>
  </si>
  <si>
    <t xml:space="preserve">Annual Cost</t>
  </si>
  <si>
    <t>Notes</t>
  </si>
  <si>
    <t xml:space="preserve">Due Rank</t>
  </si>
  <si>
    <t xml:space="preserve">Gym Membership</t>
  </si>
  <si>
    <t>Monthly</t>
  </si>
  <si>
    <t>Discretionary</t>
  </si>
  <si>
    <t xml:space="preserve">Phone Bill (Verizon)</t>
  </si>
  <si>
    <t>Essential</t>
  </si>
  <si>
    <t xml:space="preserve">Claude Subscription</t>
  </si>
  <si>
    <t>Subscription</t>
  </si>
  <si>
    <t>Rent</t>
  </si>
  <si>
    <t xml:space="preserve">Largest fixed obligation</t>
  </si>
  <si>
    <t xml:space="preserve">Car Loan</t>
  </si>
  <si>
    <t>Debt</t>
  </si>
  <si>
    <t xml:space="preserve">Inactive — lien eliminated Mar 2026</t>
  </si>
  <si>
    <t xml:space="preserve">Car Insurance</t>
  </si>
  <si>
    <t xml:space="preserve">YouTube Premium</t>
  </si>
  <si>
    <t xml:space="preserve">National Grid (Electric)</t>
  </si>
  <si>
    <t xml:space="preserve">Utility — amount varies</t>
  </si>
  <si>
    <t xml:space="preserve">National Fuel (Gas Utility)</t>
  </si>
  <si>
    <t xml:space="preserve">EZ-Pass / Tolls</t>
  </si>
  <si>
    <t xml:space="preserve">Quick Silver Credit Card</t>
  </si>
  <si>
    <t xml:space="preserve">Excluded — variable CC</t>
  </si>
  <si>
    <t xml:space="preserve">Food + Gas (Variable)</t>
  </si>
  <si>
    <t>Variable</t>
  </si>
  <si>
    <t xml:space="preserve">Excluded — tracked in Dashboard variable section</t>
  </si>
  <si>
    <t xml:space="preserve">BILL TOTALS &amp; OBLIGATIONS</t>
  </si>
  <si>
    <t xml:space="preserve">Total Monthly (Included)</t>
  </si>
  <si>
    <t xml:space="preserve">Total Monthly (All Bills)</t>
  </si>
  <si>
    <t xml:space="preserve">Total Annual (Included)</t>
  </si>
  <si>
    <t xml:space="preserve">Bills as % of Base Net Income</t>
  </si>
  <si>
    <t xml:space="preserve">Active Bill Count</t>
  </si>
  <si>
    <t xml:space="preserve">Excluded Bill Count</t>
  </si>
  <si>
    <t xml:space="preserve">CATEGORY BREAKDOWN</t>
  </si>
  <si>
    <t xml:space="preserve">Monthly Total</t>
  </si>
  <si>
    <t xml:space="preserve">% of Bills</t>
  </si>
  <si>
    <t xml:space="preserve">Annual Total</t>
  </si>
  <si>
    <t xml:space="preserve">Bill Count</t>
  </si>
  <si>
    <t xml:space="preserve">Verification (should = B16)</t>
  </si>
  <si>
    <t xml:space="preserve">AUTOPAY AUDIT</t>
  </si>
  <si>
    <t xml:space="preserve">Autopay Bills (Count)</t>
  </si>
  <si>
    <t xml:space="preserve">Autopay Bills (Monthly $)</t>
  </si>
  <si>
    <t xml:space="preserve">Manual Bills (Count)</t>
  </si>
  <si>
    <t xml:space="preserve">Manual Bills (Monthly $)</t>
  </si>
  <si>
    <t xml:space="preserve">Manual Bill Due Next</t>
  </si>
  <si>
    <t xml:space="preserve">⚠️ Manual Payment Risk</t>
  </si>
  <si>
    <t xml:space="preserve">UPCOMING BILLS TIMELINE</t>
  </si>
  <si>
    <t>#</t>
  </si>
  <si>
    <t xml:space="preserve">Due Date</t>
  </si>
  <si>
    <t xml:space="preserve">Days Until Due</t>
  </si>
  <si>
    <t xml:space="preserve">Total Due This Cycle</t>
  </si>
  <si>
    <t>across</t>
  </si>
  <si>
    <t>bills</t>
  </si>
  <si>
    <t xml:space="preserve">INCOME vs OBLIGATIONS ANALYSIS</t>
  </si>
  <si>
    <t xml:space="preserve">Base Monthly Net Income</t>
  </si>
  <si>
    <t xml:space="preserve">Fixed Bills (Included)</t>
  </si>
  <si>
    <t xml:space="preserve">Variable Spend Cap</t>
  </si>
  <si>
    <t xml:space="preserve">Forward Reserve</t>
  </si>
  <si>
    <t xml:space="preserve">Residual After All Obligations</t>
  </si>
  <si>
    <t xml:space="preserve">Residual as % of Income</t>
  </si>
  <si>
    <t xml:space="preserve">Essential Bills / Income</t>
  </si>
  <si>
    <t xml:space="preserve">Discretionary Bills / Income</t>
  </si>
  <si>
    <t xml:space="preserve">Fixed-to-Variable Ratio</t>
  </si>
  <si>
    <t xml:space="preserve">PAYMENT COMPLIANCE SCORECARD</t>
  </si>
  <si>
    <t xml:space="preserve">Total Payments Logged</t>
  </si>
  <si>
    <t xml:space="preserve">On Time Payments</t>
  </si>
  <si>
    <t xml:space="preserve">Late Payments</t>
  </si>
  <si>
    <t xml:space="preserve">On-Time Rate</t>
  </si>
  <si>
    <t xml:space="preserve">Consecutive On-Time Streak</t>
  </si>
  <si>
    <t xml:space="preserve">Payment Compliance Grade</t>
  </si>
  <si>
    <t xml:space="preserve">SUBSCRIPTION AUDIT</t>
  </si>
  <si>
    <t xml:space="preserve">Total Subscription Count (Active)</t>
  </si>
  <si>
    <t xml:space="preserve">Total Subscription Monthly Cost</t>
  </si>
  <si>
    <t xml:space="preserve">Total Subscription Annual Cost</t>
  </si>
  <si>
    <t xml:space="preserve">Subscriptions as % of Income</t>
  </si>
  <si>
    <t xml:space="preserve">💡 Optimization Targets</t>
  </si>
  <si>
    <t>Bill</t>
  </si>
  <si>
    <t>Annual</t>
  </si>
  <si>
    <t xml:space="preserve">BILL HEALTH SUMMARY</t>
  </si>
  <si>
    <t xml:space="preserve">Autopay Coverage</t>
  </si>
  <si>
    <t xml:space="preserve">Bills-to-Income Ratio</t>
  </si>
  <si>
    <t xml:space="preserve">Essential-to-Discretionary Ratio</t>
  </si>
  <si>
    <t xml:space="preserve">Subscription Creep Risk</t>
  </si>
  <si>
    <t xml:space="preserve">Manual Payment Risk</t>
  </si>
  <si>
    <t xml:space="preserve">OVERALL BILL HEALTH</t>
  </si>
  <si>
    <t xml:space="preserve">Personal Finance Dashboard</t>
  </si>
  <si>
    <t>Item</t>
  </si>
  <si>
    <t>Value</t>
  </si>
  <si>
    <t xml:space="preserve">TIMING &amp; INPUTS</t>
  </si>
  <si>
    <t xml:space="preserve">Next Payday Date</t>
  </si>
  <si>
    <t xml:space="preserve">Last Balance Update</t>
  </si>
  <si>
    <t xml:space="preserve">Available Checking Balance</t>
  </si>
  <si>
    <t xml:space="preserve">Balance Status</t>
  </si>
  <si>
    <t xml:space="preserve">Days Since Last Update</t>
  </si>
  <si>
    <t xml:space="preserve">OBLIGATIONS &amp; RISKS</t>
  </si>
  <si>
    <t xml:space="preserve">Bills Due Before Next Payday</t>
  </si>
  <si>
    <t xml:space="preserve">Pending/Holds Reserve</t>
  </si>
  <si>
    <t xml:space="preserve">Minimum Cushion</t>
  </si>
  <si>
    <t xml:space="preserve">Posting Cushion (Days)</t>
  </si>
  <si>
    <t xml:space="preserve">Bills-Only Reserve</t>
  </si>
  <si>
    <t xml:space="preserve">Total Required Hold</t>
  </si>
  <si>
    <t xml:space="preserve">DECISION OUTPUTS</t>
  </si>
  <si>
    <t xml:space="preserve">Safe to Spend</t>
  </si>
  <si>
    <t xml:space="preserve">Daily Rate (From Last Update)</t>
  </si>
  <si>
    <t xml:space="preserve">Daily Rate (Real-Time)</t>
  </si>
  <si>
    <t xml:space="preserve">Days of Coverage Remaining</t>
  </si>
  <si>
    <t xml:space="preserve">Variable Spend Until Payday</t>
  </si>
  <si>
    <t xml:space="preserve">Remaining Discretionary</t>
  </si>
  <si>
    <t xml:space="preserve">Payday Risk</t>
  </si>
  <si>
    <t>Status</t>
  </si>
  <si>
    <t xml:space="preserve">OPTIONAL BUFFERS</t>
  </si>
  <si>
    <t xml:space="preserve">Checking Floor</t>
  </si>
  <si>
    <t xml:space="preserve">Irregular Expense Buffer</t>
  </si>
  <si>
    <t xml:space="preserve">Timing Buffer</t>
  </si>
  <si>
    <t xml:space="preserve">Forward Reserve (Next Month 1st–7th)</t>
  </si>
  <si>
    <t xml:space="preserve">ONE-TIME EXPENSES</t>
  </si>
  <si>
    <t xml:space="preserve">ANRC Event</t>
  </si>
  <si>
    <t xml:space="preserve">Expense 2</t>
  </si>
  <si>
    <t xml:space="preserve">Expense 3</t>
  </si>
  <si>
    <t xml:space="preserve">Expense 4</t>
  </si>
  <si>
    <t xml:space="preserve">Expense 5</t>
  </si>
  <si>
    <t xml:space="preserve">Due Before Payday</t>
  </si>
  <si>
    <t xml:space="preserve">VARIABLE SPEND TRACKING</t>
  </si>
  <si>
    <t xml:space="preserve">Monthly Variable Cap</t>
  </si>
  <si>
    <t xml:space="preserve">Week 1 Logged Spend</t>
  </si>
  <si>
    <t xml:space="preserve">Week 2 Logged Spend</t>
  </si>
  <si>
    <t xml:space="preserve">Week 3 Logged Spend</t>
  </si>
  <si>
    <t xml:space="preserve">Week 4 Logged Spend</t>
  </si>
  <si>
    <t xml:space="preserve">Of Which: QuickSilver</t>
  </si>
  <si>
    <t xml:space="preserve">Total Logged Spend</t>
  </si>
  <si>
    <t xml:space="preserve">Remaining Variable Budget</t>
  </si>
  <si>
    <t xml:space="preserve">QuickSilver Blind Spot</t>
  </si>
  <si>
    <t xml:space="preserve">MONTHLY SAVINGS ESTIMATE</t>
  </si>
  <si>
    <t xml:space="preserve">Base Net Income (2 checks)</t>
  </si>
  <si>
    <t xml:space="preserve">Confirmed Commission (Auto — current month payout)</t>
  </si>
  <si>
    <t xml:space="preserve">Total Month Income</t>
  </si>
  <si>
    <t xml:space="preserve">Full Month Fixed Bills</t>
  </si>
  <si>
    <t xml:space="preserve">Remaining Variable Spend (Prorated)</t>
  </si>
  <si>
    <t xml:space="preserve">Known One-Time Costs (all)</t>
  </si>
  <si>
    <t xml:space="preserve">QuickSilver Accrual</t>
  </si>
  <si>
    <t xml:space="preserve">ESTIMATED MONTHLY SAVINGS</t>
  </si>
  <si>
    <t xml:space="preserve">401(k) MATCH CHECK</t>
  </si>
  <si>
    <t xml:space="preserve">Match Gap Active?</t>
  </si>
  <si>
    <t xml:space="preserve">Monthly Cost to Close Gap</t>
  </si>
  <si>
    <t xml:space="preserve">Savings After 4% Bump</t>
  </si>
  <si>
    <t xml:space="preserve">Can You Afford It?</t>
  </si>
  <si>
    <t xml:space="preserve">Odoo Commission Calculator</t>
  </si>
  <si>
    <t xml:space="preserve">Monthly totals — one row per sales month. Enter date, MRR, and NRR; payouts auto-calculate.</t>
  </si>
  <si>
    <t>ASSUMPTIONS</t>
  </si>
  <si>
    <t xml:space="preserve">MRR Target</t>
  </si>
  <si>
    <t xml:space="preserve">NRR Target</t>
  </si>
  <si>
    <t xml:space="preserve">MRR Target Payout</t>
  </si>
  <si>
    <t xml:space="preserve">NRR Target Payout</t>
  </si>
  <si>
    <t xml:space="preserve">MRR Above-Target Rate</t>
  </si>
  <si>
    <t xml:space="preserve">NRR Above-Target Rate</t>
  </si>
  <si>
    <t xml:space="preserve">Est. Tax Rate</t>
  </si>
  <si>
    <t xml:space="preserve">Sales Month</t>
  </si>
  <si>
    <t xml:space="preserve">MRR Achieved</t>
  </si>
  <si>
    <t xml:space="preserve">NRR Achieved</t>
  </si>
  <si>
    <t xml:space="preserve">MRR Payout</t>
  </si>
  <si>
    <t xml:space="preserve">NRR Payout</t>
  </si>
  <si>
    <t xml:space="preserve">Total Gross</t>
  </si>
  <si>
    <t>Take-Home</t>
  </si>
  <si>
    <t xml:space="preserve">Pay-Out Date</t>
  </si>
  <si>
    <t xml:space="preserve">COMMISSION SUMMARY</t>
  </si>
  <si>
    <t xml:space="preserve">Last 3 Months Avg Take-Home</t>
  </si>
  <si>
    <t xml:space="preserve">Commission Drought Flag</t>
  </si>
  <si>
    <t xml:space="preserve">YTD Commission Take-Home</t>
  </si>
  <si>
    <t xml:space="preserve">Decision Sandbox</t>
  </si>
  <si>
    <t xml:space="preserve">Compare up to 4 options. Enter a name, price, and loan terms — leave fields blank if they don't apply.</t>
  </si>
  <si>
    <t xml:space="preserve">YOUR POSITION</t>
  </si>
  <si>
    <t xml:space="preserve">HYSA Balance</t>
  </si>
  <si>
    <t xml:space="preserve">Daily Safe Spend</t>
  </si>
  <si>
    <t xml:space="preserve">Monthly Fixed Bills</t>
  </si>
  <si>
    <t xml:space="preserve">Base Net Income (per month)</t>
  </si>
  <si>
    <t xml:space="preserve">PURCHASE COMPARISON</t>
  </si>
  <si>
    <t xml:space="preserve">Option 1</t>
  </si>
  <si>
    <t xml:space="preserve">Option 2</t>
  </si>
  <si>
    <t xml:space="preserve">Option 3</t>
  </si>
  <si>
    <t xml:space="preserve">Option 4</t>
  </si>
  <si>
    <t xml:space="preserve">Option Name</t>
  </si>
  <si>
    <t xml:space="preserve">23 Camry SE AWD</t>
  </si>
  <si>
    <t xml:space="preserve">23 Crosstrek</t>
  </si>
  <si>
    <t>INPUTS</t>
  </si>
  <si>
    <t xml:space="preserve">Total Price</t>
  </si>
  <si>
    <t xml:space="preserve">Down Payment</t>
  </si>
  <si>
    <t xml:space="preserve">Interest Rate (%)</t>
  </si>
  <si>
    <t xml:space="preserve">Loan Term (Months)</t>
  </si>
  <si>
    <t xml:space="preserve">Monthly Add-ons (Ins/Tax/HOA)</t>
  </si>
  <si>
    <t xml:space="preserve">One-Time Cost (if no loan)</t>
  </si>
  <si>
    <t>OUTPUTS</t>
  </si>
  <si>
    <t xml:space="preserve">Monthly Loan Payment</t>
  </si>
  <si>
    <t xml:space="preserve">Total Monthly Cost</t>
  </si>
  <si>
    <t xml:space="preserve">Daily Lifestyle Cost</t>
  </si>
  <si>
    <t xml:space="preserve">New Daily Safe Spend</t>
  </si>
  <si>
    <t xml:space="preserve">Total Interest Cost</t>
  </si>
  <si>
    <t xml:space="preserve">HYSA After Down Payment</t>
  </si>
  <si>
    <t xml:space="preserve">Months of HYSA Runway</t>
  </si>
  <si>
    <t xml:space="preserve">Income Coverage (%)</t>
  </si>
  <si>
    <t xml:space="preserve">COMMISSION DROUGHT SURVIVAL</t>
  </si>
  <si>
    <t xml:space="preserve">Current Checking Balance</t>
  </si>
  <si>
    <t xml:space="preserve">Current HYSA Balance</t>
  </si>
  <si>
    <t xml:space="preserve">Total Liquid Cash</t>
  </si>
  <si>
    <t xml:space="preserve">Fixed Monthly Burn</t>
  </si>
  <si>
    <t xml:space="preserve">Variable Monthly Spend Cap</t>
  </si>
  <si>
    <t xml:space="preserve">Total Monthly Burn (Base Only)</t>
  </si>
  <si>
    <t xml:space="preserve">Base Net Pay (No Commission)</t>
  </si>
  <si>
    <t xml:space="preserve">Monthly Cash Deficit at $0 Commission</t>
  </si>
  <si>
    <t xml:space="preserve">🚨 ZERO-COMMISSION RUNWAY</t>
  </si>
  <si>
    <t xml:space="preserve">Monthly Surplus (base − burn)</t>
  </si>
  <si>
    <t xml:space="preserve">INCOME REPLACEMENT / NEGOTIATION FLOOR</t>
  </si>
  <si>
    <t xml:space="preserve">If commission dries up, what base salary maintains your savings floor?</t>
  </si>
  <si>
    <t xml:space="preserve">Monthly Savings Target</t>
  </si>
  <si>
    <t xml:space="preserve">Minimum Monthly Net Needed</t>
  </si>
  <si>
    <t xml:space="preserve">Estimated Total Tax Rate (Fed+State)</t>
  </si>
  <si>
    <t xml:space="preserve">🎯 MINIMUM BASE SALARY (Annual)</t>
  </si>
  <si>
    <t xml:space="preserve">Minimum Base Salary (Monthly Gross)</t>
  </si>
  <si>
    <t xml:space="preserve">Wealth Management 2026</t>
  </si>
  <si>
    <t>Month</t>
  </si>
  <si>
    <t>HYSA</t>
  </si>
  <si>
    <t>Brokerage</t>
  </si>
  <si>
    <t>401(k)</t>
  </si>
  <si>
    <t xml:space="preserve">Other Assets</t>
  </si>
  <si>
    <t xml:space="preserve">Total Assets</t>
  </si>
  <si>
    <t xml:space="preserve">Student Loans</t>
  </si>
  <si>
    <t xml:space="preserve">Total Liab.</t>
  </si>
  <si>
    <t xml:space="preserve">Net Worth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</si>
  <si>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</si>
  <si>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</si>
  <si>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</si>
  <si>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</si>
  <si>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</si>
  <si>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</si>
  <si>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</si>
  <si>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</si>
  <si>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</si>
  <si>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</si>
  <si>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</si>
  <si>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</si>
  <si>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YTD Change</t>
  </si>
  <si>
    <t xml:space="preserve">HYSA GAP TRACKER</t>
  </si>
  <si>
    <t xml:space="preserve">CREDIT SCORES</t>
  </si>
  <si>
    <t xml:space="preserve">HYSA Target</t>
  </si>
  <si>
    <t>Experian</t>
  </si>
  <si>
    <t xml:space="preserve">HYSA Current</t>
  </si>
  <si>
    <t>Equifax</t>
  </si>
  <si>
    <t xml:space="preserve">Gap to Target</t>
  </si>
  <si>
    <t>TransUnion</t>
  </si>
  <si>
    <t xml:space="preserve">Months to Close (Base Savings)</t>
  </si>
  <si>
    <t xml:space="preserve">Score Spread</t>
  </si>
  <si>
    <t xml:space="preserve">Last Checked</t>
  </si>
  <si>
    <t xml:space="preserve">SAVINGS RATE</t>
  </si>
  <si>
    <t xml:space="preserve">ACTION PLAN</t>
  </si>
  <si>
    <t xml:space="preserve">Monthly Net Income</t>
  </si>
  <si>
    <t xml:space="preserve">Utilization Target</t>
  </si>
  <si>
    <t xml:space="preserve">&lt;10% all cards</t>
  </si>
  <si>
    <t xml:space="preserve">Est. Monthly Savings</t>
  </si>
  <si>
    <t xml:space="preserve">Lowest Bureau</t>
  </si>
  <si>
    <t xml:space="preserve">Current Savings Rate</t>
  </si>
  <si>
    <t xml:space="preserve">Review Cadence</t>
  </si>
  <si>
    <t xml:space="preserve">Mar / Jun / Sep / Dec</t>
  </si>
  <si>
    <t xml:space="preserve">Target Savings Rate</t>
  </si>
  <si>
    <t xml:space="preserve">Next Review</t>
  </si>
  <si>
    <t xml:space="preserve">NET WORTH PROJECTION</t>
  </si>
  <si>
    <t xml:space="preserve">Current Net Worth</t>
  </si>
  <si>
    <t xml:space="preserve">Monthly Savings (floor)</t>
  </si>
  <si>
    <t xml:space="preserve">Annual Return on Investments</t>
  </si>
  <si>
    <t xml:space="preserve">Current Age</t>
  </si>
  <si>
    <t xml:space="preserve">Net Worth at Age 35</t>
  </si>
  <si>
    <t xml:space="preserve">Net Worth at Age 40</t>
  </si>
  <si>
    <t xml:space="preserve">Net Worth at Age 45</t>
  </si>
  <si>
    <t xml:space="preserve">BROKERAGE POLICY</t>
  </si>
  <si>
    <t>Purpose</t>
  </si>
  <si>
    <t xml:space="preserve">Long-term taxable investing (growth)</t>
  </si>
  <si>
    <t xml:space="preserve">Time Horizon</t>
  </si>
  <si>
    <t xml:space="preserve">10+ years</t>
  </si>
  <si>
    <t xml:space="preserve">Touch Rules</t>
  </si>
  <si>
    <t xml:space="preserve">Do not withdraw for short-term needs</t>
  </si>
  <si>
    <t xml:space="preserve">Net Worth Trend Data</t>
  </si>
  <si>
    <t xml:space="preserve">Total Liabilities</t>
  </si>
  <si>
    <t xml:space="preserve">Asset Allocation (Latest)</t>
  </si>
  <si>
    <t xml:space="preserve">CONTROL PANEL</t>
  </si>
  <si>
    <t>posting_cushion_days</t>
  </si>
  <si>
    <t>commission_tax_rate</t>
  </si>
  <si>
    <t>month_length_days</t>
  </si>
  <si>
    <t>commission_payout_day</t>
  </si>
  <si>
    <t>mrr_target</t>
  </si>
  <si>
    <t>nrr_target</t>
  </si>
  <si>
    <t>alert_threshold</t>
  </si>
  <si>
    <t>variable_spend_cap</t>
  </si>
  <si>
    <t>base_net_income</t>
  </si>
  <si>
    <t>hysa_target</t>
  </si>
  <si>
    <t>retirement_return_assumption</t>
  </si>
  <si>
    <t>tax_annual_reserve</t>
  </si>
  <si>
    <t>savings_to_hysa_ratio</t>
  </si>
  <si>
    <t>include_forward_reserve_in_sts</t>
  </si>
  <si>
    <t xml:space="preserve">SESSION INTEGRITY CHECK (Section 6.0)</t>
  </si>
  <si>
    <t xml:space="preserve">Claude reads these at session start. Any FAIL = investigate before proceeding.</t>
  </si>
  <si>
    <t>Check</t>
  </si>
  <si>
    <t xml:space="preserve">What Claude Verifies</t>
  </si>
  <si>
    <t xml:space="preserve">Dashboard B15 formula</t>
  </si>
  <si>
    <t xml:space="preserve">Confirms =B11 (Bills-Only Reserve wired in)</t>
  </si>
  <si>
    <t xml:space="preserve">Dashboard B22 source</t>
  </si>
  <si>
    <t xml:space="preserve">Confirms Daily Rate uses formula not manual number</t>
  </si>
  <si>
    <t xml:space="preserve">Dashboard B54 formula</t>
  </si>
  <si>
    <t xml:space="preserve">Confirms Base Net Income is formula-based (=Assumptions!B10)</t>
  </si>
  <si>
    <t xml:space="preserve">Next Due Date logic</t>
  </si>
  <si>
    <t xml:space="preserve">Confirms Bills!D uses DATE(YEAR,MONTH,day) pattern</t>
  </si>
  <si>
    <t xml:space="preserve">Car Loan row</t>
  </si>
  <si>
    <t xml:space="preserve">Confirms Bills!F6 Include=FALSE (car loan inactive)</t>
  </si>
  <si>
    <t xml:space="preserve">Claude Sub row</t>
  </si>
  <si>
    <t xml:space="preserve">Confirms Bills row 4: $21, Due 3rd, Include=TRUE</t>
  </si>
  <si>
    <t xml:space="preserve">Confirms Dashboard!B33 is formula-based or zero</t>
  </si>
  <si>
    <t xml:space="preserve">Alert Threshold</t>
  </si>
  <si>
    <t xml:space="preserve">Confirms Assumptions!B8 is current (=400)</t>
  </si>
  <si>
    <t xml:space="preserve">Monthly Savings formula</t>
  </si>
  <si>
    <t xml:space="preserve">Confirms Dashboard!B62 is a formula (Monthly Savings)</t>
  </si>
  <si>
    <t xml:space="preserve">Wealth Mgmt NW Change</t>
  </si>
  <si>
    <t xml:space="preserve">Confirms WM!J16 uses formula (YTD Net Worth Change)</t>
  </si>
  <si>
    <t xml:space="preserve">OVERALL STATUS</t>
  </si>
  <si>
    <t xml:space="preserve">Last Verified</t>
  </si>
  <si>
    <t xml:space="preserve">TAX PLANNING</t>
  </si>
  <si>
    <t xml:space="preserve">Gross Annual Income</t>
  </si>
  <si>
    <t xml:space="preserve">Estimated Federal Tax Rate (Effective)</t>
  </si>
  <si>
    <t xml:space="preserve">Estimated State Tax Rate (Effective)</t>
  </si>
  <si>
    <t xml:space="preserve">Estimated Annual Tax Liability</t>
  </si>
  <si>
    <t xml:space="preserve">Pay Periods Per Year</t>
  </si>
  <si>
    <t xml:space="preserve">Tax Reserve Per Paycheck</t>
  </si>
  <si>
    <t xml:space="preserve">Tax Reserve Per Month</t>
  </si>
  <si>
    <t xml:space="preserve">Note: If taxes are withheld from paycheck, this reserve covers any gap.</t>
  </si>
  <si>
    <t xml:space="preserve">Adjust effective rates based on actual refund/owed amounts.</t>
  </si>
  <si>
    <t xml:space="preserve">INSURANCE AUDIT</t>
  </si>
  <si>
    <t>Type</t>
  </si>
  <si>
    <t xml:space="preserve">Monthly Cost</t>
  </si>
  <si>
    <t xml:space="preserve">Coverage Amount</t>
  </si>
  <si>
    <t xml:space="preserve">Last Reviewed</t>
  </si>
  <si>
    <t xml:space="preserve">Auto Insurance</t>
  </si>
  <si>
    <t xml:space="preserve">Renter's Insurance</t>
  </si>
  <si>
    <t xml:space="preserve">Life Insurance</t>
  </si>
  <si>
    <t xml:space="preserve">Disability Insurance</t>
  </si>
  <si>
    <t xml:space="preserve">INCOME GROWTH SCENARIO</t>
  </si>
  <si>
    <t xml:space="preserve">Current Base Salary</t>
  </si>
  <si>
    <t xml:space="preserve">Scenario: New Base Salary</t>
  </si>
  <si>
    <t xml:space="preserve">Monthly Net Increase (est. after tax)</t>
  </si>
  <si>
    <t xml:space="preserve">New Monthly Net Income (approx)</t>
  </si>
  <si>
    <t xml:space="preserve">Current Monthly Fixed Bills</t>
  </si>
  <si>
    <t xml:space="preserve">New Savings Floor (with raise)</t>
  </si>
  <si>
    <t xml:space="preserve">Savings Floor Improvement</t>
  </si>
  <si>
    <t xml:space="preserve">PLAYBOOK VERSION LOG</t>
  </si>
  <si>
    <t xml:space="preserve">Version Date</t>
  </si>
  <si>
    <t xml:space="preserve">Trigger Event</t>
  </si>
  <si>
    <t xml:space="preserve">What Changed</t>
  </si>
  <si>
    <t xml:space="preserve">Updated By</t>
  </si>
  <si>
    <t xml:space="preserve">System Upgrade</t>
  </si>
  <si>
    <t xml:space="preserve">Added Debt Strategy, Retirement Planning, Integrity Checks, Domain Completeness, Scenario Modeling, Data Integrity modules</t>
  </si>
  <si>
    <t>Claude</t>
  </si>
  <si>
    <t xml:space="preserve">STUDENT LOAN DEBT STRATEGY</t>
  </si>
  <si>
    <t xml:space="preserve">All inputs in blue. All outputs are formulas.</t>
  </si>
  <si>
    <t xml:space="preserve">LOAN INPUTS</t>
  </si>
  <si>
    <t xml:space="preserve">Loan Servicer</t>
  </si>
  <si>
    <t xml:space="preserve">Total Loan Balance</t>
  </si>
  <si>
    <t xml:space="preserve">Weighted Avg Interest Rate</t>
  </si>
  <si>
    <t xml:space="preserve">Loan Type</t>
  </si>
  <si>
    <t xml:space="preserve">Federal (Mixed Sub/Unsub)</t>
  </si>
  <si>
    <t xml:space="preserve">Current Repayment Status</t>
  </si>
  <si>
    <t xml:space="preserve">PSLF Eligible?</t>
  </si>
  <si>
    <t xml:space="preserve">No (Private employer)</t>
  </si>
  <si>
    <t xml:space="preserve">Current Monthly Payment</t>
  </si>
  <si>
    <t xml:space="preserve">Standard Plan Term (Years)</t>
  </si>
  <si>
    <t xml:space="preserve">Market Return Assumption</t>
  </si>
  <si>
    <t xml:space="preserve">Monthly Net Income (2 checks)</t>
  </si>
  <si>
    <t xml:space="preserve">STANDARD REPAYMENT ANALYSIS</t>
  </si>
  <si>
    <t xml:space="preserve">Monthly Payment (Standard 10yr)</t>
  </si>
  <si>
    <t xml:space="preserve">Total Paid (Standard 10yr)</t>
  </si>
  <si>
    <t xml:space="preserve">Total Interest (Standard 10yr)</t>
  </si>
  <si>
    <t xml:space="preserve">Extended Plan Term (Years)</t>
  </si>
  <si>
    <t xml:space="preserve">Monthly Payment (Extended 25yr)</t>
  </si>
  <si>
    <t xml:space="preserve">Total Paid (Extended 25yr)</t>
  </si>
  <si>
    <t xml:space="preserve">Total Interest (Extended 25yr)</t>
  </si>
  <si>
    <t xml:space="preserve">Extra Interest Cost of Extended vs Standard</t>
  </si>
  <si>
    <t xml:space="preserve">ACCELERATED PAYOFF SCENARIOS</t>
  </si>
  <si>
    <t>Scenario</t>
  </si>
  <si>
    <t xml:space="preserve">3-Year Payoff</t>
  </si>
  <si>
    <t xml:space="preserve">Monthly Payment Required</t>
  </si>
  <si>
    <t xml:space="preserve">Total Interest Paid</t>
  </si>
  <si>
    <t xml:space="preserve">Interest Saved vs Standard</t>
  </si>
  <si>
    <t xml:space="preserve">5-Year Payoff</t>
  </si>
  <si>
    <t xml:space="preserve">7-Year Payoff</t>
  </si>
  <si>
    <t xml:space="preserve">IMPACT ON MONTHLY BURN &amp; SAVINGS</t>
  </si>
  <si>
    <t xml:space="preserve">Current Monthly Savings Floor</t>
  </si>
  <si>
    <t xml:space="preserve">Savings After 3yr Payment</t>
  </si>
  <si>
    <t xml:space="preserve">Savings After 5yr Payment</t>
  </si>
  <si>
    <t xml:space="preserve">Savings After 7yr Payment</t>
  </si>
  <si>
    <t xml:space="preserve">Savings After Standard 10yr</t>
  </si>
  <si>
    <t xml:space="preserve">BREAK-EVEN: PAY AGGRESSIVELY vs INVEST</t>
  </si>
  <si>
    <t xml:space="preserve">If you pay standard 10yr and invest the difference vs 3yr aggressive:</t>
  </si>
  <si>
    <t xml:space="preserve">Monthly investable difference (3yr pmt - standard pmt)</t>
  </si>
  <si>
    <t xml:space="preserve">FV of investing that difference for 10yr at market return</t>
  </si>
  <si>
    <t xml:space="preserve">Interest saved by paying 3yr aggressive</t>
  </si>
  <si>
    <t xml:space="preserve">Net benefit of investing vs paying aggressively</t>
  </si>
  <si>
    <t>VERDICT</t>
  </si>
  <si>
    <t xml:space="preserve">⚠️ Note: This assumes 7% market return. Paying down debt is a guaranteed return; investing is not.</t>
  </si>
  <si>
    <t xml:space="preserve">RETIREMENT PLANNING</t>
  </si>
  <si>
    <t xml:space="preserve">401(k) projections and contribution optimization. Blue = inputs.</t>
  </si>
  <si>
    <t xml:space="preserve">401(k) INPUTS</t>
  </si>
  <si>
    <t xml:space="preserve">Current Contribution Rate (% of Gross)</t>
  </si>
  <si>
    <t xml:space="preserve">Employer Match Rate</t>
  </si>
  <si>
    <t xml:space="preserve">Employer Match Cap (% of Gross)</t>
  </si>
  <si>
    <t xml:space="preserve">Current 401(k) Balance</t>
  </si>
  <si>
    <t xml:space="preserve">Target Retirement Age</t>
  </si>
  <si>
    <t xml:space="preserve">Assumed Annual Return (Real)</t>
  </si>
  <si>
    <t xml:space="preserve">Assumed Annual Return (Nominal)</t>
  </si>
  <si>
    <t xml:space="preserve">Years to Retirement</t>
  </si>
  <si>
    <t xml:space="preserve">CONTRIBUTION ANALYSIS</t>
  </si>
  <si>
    <t xml:space="preserve">Your Annual Contribution ($)</t>
  </si>
  <si>
    <t xml:space="preserve">Your Monthly Contribution ($)</t>
  </si>
  <si>
    <t xml:space="preserve">Employer Match Captured ($)</t>
  </si>
  <si>
    <t xml:space="preserve">Max Employer Match Available ($)</t>
  </si>
  <si>
    <t xml:space="preserve">⚠️ MATCH GAP</t>
  </si>
  <si>
    <t xml:space="preserve">401(k) Contribution per Paycheck (bi-monthly)</t>
  </si>
  <si>
    <t xml:space="preserve">↑ This should appear as a line item in Dashboard savings calc</t>
  </si>
  <si>
    <t xml:space="preserve">Total Annual Going In (You + Employer)</t>
  </si>
  <si>
    <t xml:space="preserve">PROJECTED BALANCE AT RETIREMENT</t>
  </si>
  <si>
    <t xml:space="preserve">Using 7% real return. Current balance + annual contributions compounded.</t>
  </si>
  <si>
    <t xml:space="preserve">At Current Rate (3%)</t>
  </si>
  <si>
    <t xml:space="preserve">Projected at Age 60</t>
  </si>
  <si>
    <t xml:space="preserve">Projected at Age 65</t>
  </si>
  <si>
    <t xml:space="preserve">If Contribution Increases to Match Cap (4%)</t>
  </si>
  <si>
    <t xml:space="preserve">If Contribution Increases to 10%</t>
  </si>
  <si>
    <t xml:space="preserve">$1M TARGET CALCULATOR</t>
  </si>
  <si>
    <t xml:space="preserve">Target Balance at 65</t>
  </si>
  <si>
    <t xml:space="preserve">Monthly Contribution Needed (You Only)</t>
  </si>
  <si>
    <t xml:space="preserve">Contribution Rate Needed (% of Gross)</t>
  </si>
  <si>
    <t xml:space="preserve">Note: This is your contribution only. Employer match is additional.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</si>
</sst>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3">
    <numFmt numFmtId="164" formatCode="mm/dd/yyyy"/>
    <numFmt numFmtId="165" formatCode="&quot;$&quot;#,##0.00"/>
    <numFmt numFmtId="166" formatCode="yyyy\-mm\-dd"/>
    <numFmt numFmtId="167" formatCode="0.0%"/>
    <numFmt numFmtId="168" formatCode="0&quot; days&quot;"/>
    <numFmt numFmtId="169" formatCode="&quot;$&quot;#,##0"/>
    <numFmt numFmtId="170" formatCode="0.00&quot;x&quot;"/>
    <numFmt numFmtId="171" formatCode="0.000&quot;x&quot;"/>
    <numFmt numFmtId="172" formatCode="mmm\ yyyy"/>
    <numFmt numFmtId="173" formatCode="mmm\ d\,\ yyyy"/>
    <numFmt numFmtId="174" formatCode="&quot;$&quot;#,##0.00_);[Red]\(&quot;$&quot;#,##0.00\)"/>
    <numFmt numFmtId="175" formatCode="0.0"/>
    <numFmt numFmtId="176" formatCode="&quot;$&quot;#,##0;\(&quot;$&quot;#,##0\);\-"/>
  </numFmts>
  <fonts count="41">
    <font>
      <sz val="10.000000"/>
      <name val="Arial"/>
      <scheme val="minor"/>
    </font>
    <font>
      <b/>
      <sz val="10.000000"/>
      <color theme="1"/>
      <name val="Arial"/>
      <scheme val="minor"/>
    </font>
    <font>
      <b/>
      <sz val="10.000000"/>
      <name val="Arial"/>
      <scheme val="minor"/>
    </font>
    <font>
      <sz val="10.000000"/>
      <color theme="1"/>
      <name val="Arial"/>
      <scheme val="minor"/>
    </font>
    <font>
      <sz val="10.000000"/>
      <color indexed="4"/>
      <name val="Arial"/>
      <scheme val="minor"/>
    </font>
    <font>
      <b/>
      <sz val="11.000000"/>
      <color indexed="65"/>
      <name val="Arial"/>
      <scheme val="minor"/>
    </font>
    <font>
      <i/>
      <sz val="9.000000"/>
      <color rgb="FF666666"/>
      <name val="Arial"/>
      <scheme val="minor"/>
    </font>
    <font>
      <i/>
      <sz val="10.000000"/>
      <color rgb="FF666666"/>
      <name val="Arial"/>
      <scheme val="minor"/>
    </font>
    <font>
      <sz val="10.000000"/>
      <color indexed="17"/>
      <name val="Arial"/>
      <scheme val="minor"/>
    </font>
    <font>
      <b/>
      <sz val="11.000000"/>
      <name val="Arial"/>
      <scheme val="minor"/>
    </font>
    <font>
      <b/>
      <sz val="12.000000"/>
      <name val="Arial"/>
      <scheme val="minor"/>
    </font>
    <font>
      <b/>
      <sz val="14.000000"/>
      <name val="Arial"/>
      <scheme val="minor"/>
    </font>
    <font>
      <sz val="10.000000"/>
      <color rgb="FF666666"/>
      <name val="Arial"/>
      <scheme val="minor"/>
    </font>
    <font>
      <b/>
      <sz val="10.000000"/>
      <color indexed="65"/>
      <name val="Arial"/>
      <scheme val="minor"/>
    </font>
    <font>
      <i/>
      <sz val="10.000000"/>
      <color theme="1"/>
      <name val="Arial"/>
      <scheme val="minor"/>
    </font>
    <font>
      <b/>
      <sz val="10.000000"/>
      <color indexed="65"/>
      <name val="Arial"/>
    </font>
    <font>
      <sz val="10.000000"/>
      <name val="Arial"/>
    </font>
    <font>
      <sz val="10.000000"/>
      <color indexed="4"/>
      <name val="Arial"/>
    </font>
    <font>
      <b/>
      <sz val="13.000000"/>
      <color rgb="FF1A1A1A"/>
      <name val="Aptos"/>
    </font>
    <font>
      <sz val="10.000000"/>
      <color indexed="63"/>
      <name val="Aptos"/>
    </font>
    <font>
      <i/>
      <sz val="9.000000"/>
      <color rgb="FF888888"/>
      <name val="Aptos"/>
    </font>
    <font>
      <b/>
      <sz val="9.000000"/>
      <color rgb="FF666666"/>
      <name val="Aptos"/>
    </font>
    <font>
      <sz val="9.000000"/>
      <color rgb="FF777777"/>
      <name val="Aptos"/>
    </font>
    <font>
      <sz val="9.000000"/>
      <color rgb="FF2563EB"/>
      <name val="Aptos"/>
    </font>
    <font>
      <b/>
      <sz val="9.000000"/>
      <color rgb="FF555555"/>
      <name val="Aptos"/>
    </font>
    <font>
      <sz val="10.000000"/>
      <color rgb="FF2563EB"/>
      <name val="Aptos"/>
    </font>
    <font>
      <sz val="10.000000"/>
      <color rgb="FF555555"/>
      <name val="Aptos"/>
    </font>
    <font>
      <b/>
      <sz val="10.000000"/>
      <color indexed="63"/>
      <name val="Aptos"/>
    </font>
    <font>
      <b/>
      <sz val="14.000000"/>
      <color rgb="FF1A1A1A"/>
      <name val="Aptos"/>
    </font>
    <font>
      <sz val="10.000000"/>
      <color indexed="17"/>
      <name val="Aptos"/>
    </font>
    <font>
      <b/>
      <sz val="10.000000"/>
      <color indexed="65"/>
      <name val="Aptos"/>
    </font>
    <font>
      <b/>
      <sz val="10.000000"/>
      <color rgb="FF2563EB"/>
      <name val="Aptos"/>
    </font>
    <font>
      <b/>
      <sz val="8.000000"/>
      <color rgb="FF999999"/>
      <name val="Aptos"/>
    </font>
    <font>
      <b/>
      <sz val="10.000000"/>
      <color rgb="FF555555"/>
      <name val="Aptos"/>
    </font>
    <font>
      <b/>
      <sz val="11.000000"/>
      <color indexed="63"/>
      <name val="Aptos"/>
    </font>
    <font>
      <b/>
      <sz val="12.000000"/>
      <color indexed="63"/>
      <name val="Aptos"/>
    </font>
    <font>
      <b/>
      <sz val="9.000000"/>
      <color indexed="65"/>
      <name val="Aptos"/>
    </font>
    <font>
      <sz val="9.000000"/>
      <color rgb="FF555555"/>
      <name val="Aptos"/>
    </font>
    <font>
      <b/>
      <sz val="9.000000"/>
      <name val="Arial"/>
      <scheme val="minor"/>
    </font>
    <font>
      <b/>
      <sz val="9.000000"/>
      <color rgb="FF666666"/>
      <name val="Arial"/>
      <scheme val="minor"/>
    </font>
    <font>
      <i/>
      <sz val="10.000000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FFF9C4"/>
      </patternFill>
    </fill>
    <fill>
      <patternFill patternType="solid">
        <fgColor rgb="FFB7E1CD"/>
      </patternFill>
    </fill>
    <fill>
      <patternFill patternType="solid">
        <fgColor rgb="FFD5D8DC"/>
      </patternFill>
    </fill>
    <fill>
      <patternFill patternType="solid">
        <fgColor rgb="FFF4C7C3"/>
      </patternFill>
    </fill>
    <fill>
      <patternFill patternType="solid">
        <fgColor rgb="FF2F3640"/>
      </patternFill>
    </fill>
    <fill>
      <patternFill patternType="solid">
        <fgColor rgb="FFE2EFDA"/>
      </patternFill>
    </fill>
    <fill>
      <patternFill patternType="solid">
        <fgColor rgb="FFFCE8B2"/>
      </patternFill>
    </fill>
    <fill>
      <patternFill patternType="solid">
        <fgColor rgb="FF00B0F0"/>
      </patternFill>
    </fill>
    <fill>
      <patternFill patternType="solid">
        <fgColor rgb="FF434343"/>
      </patternFill>
    </fill>
    <fill>
      <patternFill patternType="solid">
        <fgColor rgb="FFF5F5F5"/>
      </patternFill>
    </fill>
    <fill>
      <patternFill patternType="solid">
        <fgColor rgb="FF374151"/>
      </patternFill>
    </fill>
    <fill>
      <patternFill patternType="solid">
        <fgColor rgb="FFFFFBEB"/>
      </patternFill>
    </fill>
    <fill>
      <patternFill patternType="solid">
        <fgColor rgb="FFF3F4F6"/>
      </patternFill>
    </fill>
    <fill>
      <patternFill patternType="solid">
        <fgColor rgb="FFD9E1F2"/>
      </patternFill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thin">
        <color rgb="FFCCCCCC"/>
      </bottom>
      <diagonal style="none"/>
    </border>
    <border>
      <left style="none"/>
      <right style="none"/>
      <top style="none"/>
      <bottom style="thin">
        <color rgb="FFCCCCCC"/>
      </bottom>
      <diagonal style="none"/>
    </border>
    <border>
      <left style="none"/>
      <right style="none"/>
      <top style="thin">
        <color rgb="FFDDDDDD"/>
      </top>
      <bottom style="none"/>
      <diagonal style="none"/>
    </border>
    <border>
      <left style="none"/>
      <right style="none"/>
      <top style="thin">
        <color rgb="FF999999"/>
      </top>
      <bottom style="none"/>
      <diagonal style="none"/>
    </border>
    <border>
      <left style="none"/>
      <right style="none"/>
      <top style="thin">
        <color rgb="FFEBEBEB"/>
      </top>
      <bottom style="none"/>
      <diagonal style="none"/>
    </border>
    <border>
      <left style="none"/>
      <right style="none"/>
      <top style="thin">
        <color rgb="FFEBEBEB"/>
      </top>
      <bottom style="thin">
        <color rgb="FF999999"/>
      </bottom>
      <diagonal style="none"/>
    </border>
    <border>
      <left style="none"/>
      <right style="none"/>
      <top style="none"/>
      <bottom style="thin">
        <color rgb="FF1F2937"/>
      </bottom>
      <diagonal style="none"/>
    </border>
    <border>
      <left style="none"/>
      <right style="none"/>
      <top style="thin">
        <color rgb="FFE5E7EB"/>
      </top>
      <bottom style="none"/>
      <diagonal style="none"/>
    </border>
    <border>
      <left style="none"/>
      <right style="none"/>
      <top style="thin">
        <color rgb="FFEBEBEB"/>
      </top>
      <bottom style="thin">
        <color rgb="FFEBEBEB"/>
      </bottom>
      <diagonal style="none"/>
    </border>
    <border>
      <left style="none"/>
      <right style="none"/>
      <top style="none"/>
      <bottom style="thin">
        <color rgb="FFE5E7EB"/>
      </bottom>
      <diagonal style="none"/>
    </border>
    <border>
      <left style="none"/>
      <right style="none"/>
      <top style="none"/>
      <bottom style="thin">
        <color rgb="FF999999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86">
    <xf fontId="0" fillId="0" borderId="0" numFmtId="0" xfId="0"/>
    <xf fontId="0" fillId="0" borderId="0" numFmtId="14" xfId="0" applyNumberFormat="1"/>
    <xf fontId="1" fillId="0" borderId="1" numFmtId="0" xfId="0" applyFont="1" applyBorder="1"/>
    <xf fontId="1" fillId="0" borderId="1" numFmtId="14" xfId="0" applyNumberFormat="1" applyFont="1" applyBorder="1"/>
    <xf fontId="2" fillId="2" borderId="1" numFmtId="0" xfId="0" applyFont="1" applyFill="1" applyBorder="1"/>
    <xf fontId="2" fillId="2" borderId="0" numFmtId="0" xfId="0" applyFont="1" applyFill="1"/>
    <xf fontId="3" fillId="0" borderId="0" numFmtId="0" xfId="0" applyFont="1"/>
    <xf fontId="3" fillId="3" borderId="0" numFmtId="14" xfId="0" applyNumberFormat="1" applyFont="1" applyFill="1"/>
    <xf fontId="0" fillId="4" borderId="0" numFmtId="0" xfId="0" applyFill="1"/>
    <xf fontId="4" fillId="0" borderId="0" numFmtId="164" xfId="0" applyNumberFormat="1" applyFont="1"/>
    <xf fontId="0" fillId="0" borderId="0" numFmtId="165" xfId="0" applyNumberFormat="1"/>
    <xf fontId="0" fillId="5" borderId="0" numFmtId="0" xfId="0" applyFill="1"/>
    <xf fontId="0" fillId="6" borderId="0" numFmtId="0" xfId="0" applyFill="1"/>
    <xf fontId="3" fillId="0" borderId="0" numFmtId="166" xfId="0" applyNumberFormat="1" applyFont="1"/>
    <xf fontId="3" fillId="3" borderId="0" numFmtId="0" xfId="0" applyFont="1" applyFill="1"/>
    <xf fontId="0" fillId="0" borderId="0" numFmtId="0" xfId="0"/>
    <xf fontId="0" fillId="0" borderId="2" numFmtId="0" xfId="0" applyBorder="1"/>
    <xf fontId="3" fillId="0" borderId="2" numFmtId="0" xfId="0" applyFont="1" applyBorder="1"/>
    <xf fontId="0" fillId="0" borderId="2" numFmtId="14" xfId="0" applyNumberFormat="1" applyBorder="1"/>
    <xf fontId="5" fillId="7" borderId="0" numFmtId="0" xfId="0" applyFont="1" applyFill="1"/>
    <xf fontId="2" fillId="0" borderId="0" numFmtId="165" xfId="0" applyNumberFormat="1" applyFont="1"/>
    <xf fontId="2" fillId="0" borderId="0" numFmtId="167" xfId="0" applyNumberFormat="1" applyFont="1"/>
    <xf fontId="0" fillId="0" borderId="0" numFmtId="1" xfId="0" applyNumberFormat="1"/>
    <xf fontId="0" fillId="0" borderId="3" numFmtId="0" xfId="0" applyBorder="1"/>
    <xf fontId="3" fillId="0" borderId="3" numFmtId="0" xfId="0" applyFont="1" applyBorder="1"/>
    <xf fontId="0" fillId="0" borderId="3" numFmtId="14" xfId="0" applyNumberFormat="1" applyBorder="1"/>
    <xf fontId="2" fillId="8" borderId="0" numFmtId="0" xfId="0" applyFont="1" applyFill="1"/>
    <xf fontId="1" fillId="8" borderId="0" numFmtId="0" xfId="0" applyFont="1" applyFill="1"/>
    <xf fontId="0" fillId="0" borderId="0" numFmtId="167" xfId="0" applyNumberFormat="1"/>
    <xf fontId="3" fillId="0" borderId="0" numFmtId="165" xfId="0" applyNumberFormat="1" applyFont="1"/>
    <xf fontId="6" fillId="0" borderId="0" numFmtId="0" xfId="0" applyFont="1"/>
    <xf fontId="7" fillId="0" borderId="0" numFmtId="165" xfId="0" applyNumberFormat="1" applyFont="1"/>
    <xf fontId="0" fillId="0" borderId="0" numFmtId="164" xfId="0" applyNumberFormat="1"/>
    <xf fontId="2" fillId="0" borderId="0" numFmtId="0" xfId="0" applyFont="1"/>
    <xf fontId="3" fillId="0" borderId="0" numFmtId="164" xfId="0" applyNumberFormat="1" applyFont="1"/>
    <xf fontId="0" fillId="0" borderId="0" numFmtId="168" xfId="0" applyNumberFormat="1"/>
    <xf fontId="8" fillId="0" borderId="0" numFmtId="165" xfId="0" applyNumberFormat="1" applyFont="1"/>
    <xf fontId="4" fillId="0" borderId="0" numFmtId="0" xfId="0" applyFont="1"/>
    <xf fontId="4" fillId="0" borderId="0" numFmtId="165" xfId="0" applyNumberFormat="1" applyFont="1"/>
    <xf fontId="4" fillId="0" borderId="0" numFmtId="14" xfId="0" applyNumberFormat="1" applyFont="1"/>
    <xf fontId="9" fillId="0" borderId="0" numFmtId="0" xfId="0" applyFont="1"/>
    <xf fontId="2" fillId="9" borderId="0" numFmtId="0" xfId="0" applyFont="1" applyFill="1"/>
    <xf fontId="10" fillId="0" borderId="0" numFmtId="0" xfId="0" applyFont="1"/>
    <xf fontId="10" fillId="4" borderId="0" numFmtId="0" xfId="0" applyFont="1" applyFill="1"/>
    <xf fontId="11" fillId="2" borderId="0" numFmtId="0" xfId="0" applyFont="1" applyFill="1"/>
    <xf fontId="12" fillId="2" borderId="0" numFmtId="0" xfId="0" applyFont="1" applyFill="1"/>
    <xf fontId="13" fillId="7" borderId="0" numFmtId="0" xfId="0" applyFont="1" applyFill="1"/>
    <xf fontId="3" fillId="0" borderId="0" numFmtId="4" xfId="0" applyNumberFormat="1" applyFont="1"/>
    <xf fontId="3" fillId="0" borderId="0" numFmtId="1" xfId="0" applyNumberFormat="1" applyFont="1"/>
    <xf fontId="3" fillId="10" borderId="0" numFmtId="0" xfId="0" applyFont="1" applyFill="1"/>
    <xf fontId="14" fillId="0" borderId="0" numFmtId="0" xfId="0" applyFont="1"/>
    <xf fontId="2" fillId="0" borderId="0" numFmtId="4" xfId="0" applyNumberFormat="1" applyFont="1"/>
    <xf fontId="0" fillId="0" borderId="0" numFmtId="169" xfId="0" applyNumberFormat="1"/>
    <xf fontId="4" fillId="2" borderId="0" numFmtId="14" xfId="0" applyNumberFormat="1" applyFont="1" applyFill="1"/>
    <xf fontId="8" fillId="0" borderId="0" numFmtId="0" xfId="0" applyFont="1"/>
    <xf fontId="15" fillId="11" borderId="0" numFmtId="0" xfId="0" applyFont="1" applyFill="1"/>
    <xf fontId="0" fillId="11" borderId="0" numFmtId="0" xfId="0" applyFill="1"/>
    <xf fontId="16" fillId="0" borderId="0" numFmtId="0" xfId="0" applyFont="1"/>
    <xf fontId="17" fillId="0" borderId="0" numFmtId="169" xfId="0" applyNumberFormat="1" applyFont="1"/>
    <xf fontId="16" fillId="4" borderId="0" numFmtId="169" xfId="0" applyNumberFormat="1" applyFont="1" applyFill="1"/>
    <xf fontId="0" fillId="0" borderId="0" numFmtId="0" xfId="0" applyProtection="1">
      <protection locked="0"/>
    </xf>
    <xf fontId="18" fillId="0" borderId="0" numFmtId="0" xfId="0" applyFont="1"/>
    <xf fontId="19" fillId="0" borderId="0" numFmtId="0" xfId="0" applyFont="1"/>
    <xf fontId="20" fillId="0" borderId="0" numFmtId="0" xfId="0" applyFont="1"/>
    <xf fontId="21" fillId="0" borderId="3" numFmtId="0" xfId="0" applyFont="1" applyBorder="1"/>
    <xf fontId="19" fillId="0" borderId="3" numFmtId="0" xfId="0" applyFont="1" applyBorder="1"/>
    <xf fontId="22" fillId="0" borderId="0" numFmtId="0" xfId="0" applyFont="1"/>
    <xf fontId="23" fillId="0" borderId="0" numFmtId="169" xfId="0" applyNumberFormat="1" applyFont="1" applyAlignment="1">
      <alignment horizontal="right"/>
    </xf>
    <xf fontId="23" fillId="0" borderId="0" numFmtId="165" xfId="0" applyNumberFormat="1" applyFont="1" applyAlignment="1">
      <alignment horizontal="right"/>
    </xf>
    <xf fontId="23" fillId="0" borderId="0" numFmtId="170" xfId="0" applyNumberFormat="1" applyFont="1" applyAlignment="1">
      <alignment horizontal="right"/>
    </xf>
    <xf fontId="23" fillId="0" borderId="0" numFmtId="171" xfId="0" applyNumberFormat="1" applyFont="1" applyAlignment="1">
      <alignment horizontal="right"/>
    </xf>
    <xf fontId="23" fillId="0" borderId="0" numFmtId="167" xfId="0" applyNumberFormat="1" applyFont="1" applyAlignment="1">
      <alignment horizontal="right"/>
    </xf>
    <xf fontId="24" fillId="12" borderId="4" numFmtId="0" xfId="0" applyFont="1" applyFill="1" applyBorder="1" applyAlignment="1">
      <alignment horizontal="center"/>
    </xf>
    <xf fontId="19" fillId="0" borderId="5" numFmtId="172" xfId="0" applyNumberFormat="1" applyFont="1" applyBorder="1" applyAlignment="1">
      <alignment horizontal="left"/>
    </xf>
    <xf fontId="25" fillId="0" borderId="5" numFmtId="169" xfId="0" applyNumberFormat="1" applyFont="1" applyBorder="1" applyAlignment="1">
      <alignment horizontal="right"/>
    </xf>
    <xf fontId="19" fillId="0" borderId="5" numFmtId="165" xfId="0" applyNumberFormat="1" applyFont="1" applyBorder="1" applyAlignment="1">
      <alignment horizontal="right"/>
    </xf>
    <xf fontId="19" fillId="0" borderId="5" numFmtId="173" xfId="0" applyNumberFormat="1" applyFont="1" applyBorder="1" applyAlignment="1">
      <alignment horizontal="right"/>
    </xf>
    <xf fontId="19" fillId="0" borderId="6" numFmtId="172" xfId="0" applyNumberFormat="1" applyFont="1" applyBorder="1" applyAlignment="1">
      <alignment horizontal="left"/>
    </xf>
    <xf fontId="25" fillId="0" borderId="6" numFmtId="169" xfId="0" applyNumberFormat="1" applyFont="1" applyBorder="1" applyAlignment="1">
      <alignment horizontal="right"/>
    </xf>
    <xf fontId="19" fillId="0" borderId="6" numFmtId="165" xfId="0" applyNumberFormat="1" applyFont="1" applyBorder="1" applyAlignment="1">
      <alignment horizontal="right"/>
    </xf>
    <xf fontId="19" fillId="0" borderId="6" numFmtId="173" xfId="0" applyNumberFormat="1" applyFont="1" applyBorder="1" applyAlignment="1">
      <alignment horizontal="right"/>
    </xf>
    <xf fontId="19" fillId="0" borderId="7" numFmtId="172" xfId="0" applyNumberFormat="1" applyFont="1" applyBorder="1" applyAlignment="1">
      <alignment horizontal="left"/>
    </xf>
    <xf fontId="25" fillId="0" borderId="7" numFmtId="169" xfId="0" applyNumberFormat="1" applyFont="1" applyBorder="1" applyAlignment="1">
      <alignment horizontal="right"/>
    </xf>
    <xf fontId="19" fillId="0" borderId="7" numFmtId="165" xfId="0" applyNumberFormat="1" applyFont="1" applyBorder="1" applyAlignment="1">
      <alignment horizontal="right"/>
    </xf>
    <xf fontId="19" fillId="0" borderId="7" numFmtId="173" xfId="0" applyNumberFormat="1" applyFont="1" applyBorder="1" applyAlignment="1">
      <alignment horizontal="right"/>
    </xf>
    <xf fontId="19" fillId="0" borderId="0" numFmtId="0" xfId="0" applyFont="1" applyProtection="1">
      <protection locked="0"/>
    </xf>
    <xf fontId="21" fillId="0" borderId="3" numFmtId="0" xfId="0" applyFont="1" applyBorder="1" applyProtection="1">
      <protection locked="0"/>
    </xf>
    <xf fontId="19" fillId="0" borderId="3" numFmtId="0" xfId="0" applyFont="1" applyBorder="1" applyProtection="1">
      <protection locked="0"/>
    </xf>
    <xf fontId="26" fillId="0" borderId="0" numFmtId="0" xfId="0" applyFont="1" applyProtection="1">
      <protection locked="0"/>
    </xf>
    <xf fontId="27" fillId="0" borderId="0" numFmtId="165" xfId="0" applyNumberFormat="1" applyFont="1" applyProtection="1">
      <protection locked="0"/>
    </xf>
    <xf fontId="28" fillId="0" borderId="0" numFmtId="0" xfId="0" applyFont="1"/>
    <xf fontId="29" fillId="0" borderId="0" numFmtId="169" xfId="0" applyNumberFormat="1" applyFont="1" applyAlignment="1">
      <alignment horizontal="right"/>
    </xf>
    <xf fontId="29" fillId="0" borderId="0" numFmtId="165" xfId="0" applyNumberFormat="1" applyFont="1" applyAlignment="1">
      <alignment horizontal="right"/>
    </xf>
    <xf fontId="19" fillId="0" borderId="0" numFmtId="4" xfId="0" applyNumberFormat="1" applyFont="1"/>
    <xf fontId="30" fillId="13" borderId="8" numFmtId="0" xfId="0" applyFont="1" applyFill="1" applyBorder="1" applyAlignment="1">
      <alignment horizontal="center"/>
    </xf>
    <xf fontId="31" fillId="0" borderId="0" numFmtId="0" xfId="0" applyFont="1" applyAlignment="1" quotePrefix="1">
      <alignment horizontal="center"/>
    </xf>
    <xf fontId="31" fillId="0" borderId="0" numFmtId="174" xfId="0" applyNumberFormat="1" applyFont="1" applyAlignment="1" quotePrefix="1">
      <alignment horizontal="center"/>
    </xf>
    <xf fontId="31" fillId="0" borderId="0" numFmtId="0" xfId="0" applyFont="1" applyAlignment="1">
      <alignment horizontal="center"/>
    </xf>
    <xf fontId="32" fillId="0" borderId="0" numFmtId="0" xfId="0" applyFont="1"/>
    <xf fontId="19" fillId="0" borderId="0" numFmtId="174" xfId="0" applyNumberFormat="1" applyFont="1"/>
    <xf fontId="26" fillId="0" borderId="9" numFmtId="0" xfId="0" applyFont="1" applyBorder="1"/>
    <xf fontId="25" fillId="0" borderId="9" numFmtId="169" xfId="0" applyNumberFormat="1" applyFont="1" applyBorder="1" applyAlignment="1">
      <alignment horizontal="right"/>
    </xf>
    <xf fontId="26" fillId="0" borderId="6" numFmtId="0" xfId="0" applyFont="1" applyBorder="1"/>
    <xf fontId="25" fillId="0" borderId="6" numFmtId="10" xfId="0" applyNumberFormat="1" applyFont="1" applyBorder="1" applyAlignment="1">
      <alignment horizontal="right"/>
    </xf>
    <xf fontId="25" fillId="0" borderId="6" numFmtId="3" xfId="0" applyNumberFormat="1" applyFont="1" applyBorder="1" applyAlignment="1">
      <alignment horizontal="right"/>
    </xf>
    <xf fontId="26" fillId="0" borderId="10" numFmtId="0" xfId="0" applyFont="1" applyBorder="1"/>
    <xf fontId="25" fillId="0" borderId="10" numFmtId="169" xfId="0" applyNumberFormat="1" applyFont="1" applyBorder="1" applyAlignment="1">
      <alignment horizontal="right"/>
    </xf>
    <xf fontId="25" fillId="0" borderId="10" numFmtId="169" xfId="1" applyNumberFormat="1" applyFont="1" applyBorder="1" applyAlignment="1">
      <alignment horizontal="right"/>
    </xf>
    <xf fontId="19" fillId="0" borderId="0" numFmtId="9" xfId="1" applyNumberFormat="1" applyFont="1"/>
    <xf fontId="19" fillId="0" borderId="9" numFmtId="165" xfId="0" applyNumberFormat="1" applyFont="1" applyBorder="1" applyAlignment="1">
      <alignment horizontal="right"/>
    </xf>
    <xf fontId="33" fillId="0" borderId="6" numFmtId="0" xfId="0" applyFont="1" applyBorder="1"/>
    <xf fontId="27" fillId="0" borderId="6" numFmtId="165" xfId="0" applyNumberFormat="1" applyFont="1" applyBorder="1" applyAlignment="1">
      <alignment horizontal="right"/>
    </xf>
    <xf fontId="19" fillId="0" borderId="6" numFmtId="169" xfId="0" applyNumberFormat="1" applyFont="1" applyBorder="1" applyAlignment="1">
      <alignment horizontal="right"/>
    </xf>
    <xf fontId="19" fillId="0" borderId="6" numFmtId="175" xfId="0" applyNumberFormat="1" applyFont="1" applyBorder="1" applyAlignment="1">
      <alignment horizontal="right"/>
    </xf>
    <xf fontId="27" fillId="0" borderId="6" numFmtId="0" xfId="0" applyFont="1" applyBorder="1" applyAlignment="1">
      <alignment horizontal="right"/>
    </xf>
    <xf fontId="19" fillId="0" borderId="10" numFmtId="167" xfId="0" applyNumberFormat="1" applyFont="1" applyBorder="1" applyAlignment="1">
      <alignment horizontal="right"/>
    </xf>
    <xf fontId="30" fillId="13" borderId="0" numFmtId="0" xfId="0" applyFont="1" applyFill="1"/>
    <xf fontId="26" fillId="0" borderId="0" numFmtId="0" xfId="0" applyFont="1"/>
    <xf fontId="27" fillId="0" borderId="0" numFmtId="169" xfId="0" applyNumberFormat="1" applyFont="1" applyAlignment="1">
      <alignment horizontal="right"/>
    </xf>
    <xf fontId="19" fillId="0" borderId="0" numFmtId="165" xfId="0" applyNumberFormat="1" applyFont="1" applyAlignment="1">
      <alignment horizontal="right"/>
    </xf>
    <xf fontId="19" fillId="0" borderId="0" numFmtId="169" xfId="0" applyNumberFormat="1" applyFont="1" applyAlignment="1">
      <alignment horizontal="right"/>
    </xf>
    <xf fontId="26" fillId="0" borderId="11" numFmtId="0" xfId="0" applyFont="1" applyBorder="1"/>
    <xf fontId="19" fillId="0" borderId="11" numFmtId="165" xfId="0" applyNumberFormat="1" applyFont="1" applyBorder="1" applyAlignment="1">
      <alignment horizontal="right"/>
    </xf>
    <xf fontId="19" fillId="0" borderId="11" numFmtId="0" xfId="0" applyFont="1" applyBorder="1"/>
    <xf fontId="34" fillId="14" borderId="0" numFmtId="0" xfId="0" applyFont="1" applyFill="1"/>
    <xf fontId="19" fillId="14" borderId="0" numFmtId="0" xfId="0" applyFont="1" applyFill="1"/>
    <xf fontId="26" fillId="0" borderId="12" numFmtId="0" xfId="0" applyFont="1" applyBorder="1"/>
    <xf fontId="19" fillId="0" borderId="12" numFmtId="165" xfId="0" applyNumberFormat="1" applyFont="1" applyBorder="1" applyAlignment="1">
      <alignment horizontal="right"/>
    </xf>
    <xf fontId="19" fillId="0" borderId="12" numFmtId="0" xfId="0" applyFont="1" applyBorder="1"/>
    <xf fontId="29" fillId="0" borderId="11" numFmtId="167" xfId="0" applyNumberFormat="1" applyFont="1" applyBorder="1" applyAlignment="1">
      <alignment horizontal="right"/>
    </xf>
    <xf fontId="35" fillId="14" borderId="0" numFmtId="169" xfId="0" applyNumberFormat="1" applyFont="1" applyFill="1"/>
    <xf fontId="19" fillId="0" borderId="12" numFmtId="169" xfId="0" applyNumberFormat="1" applyFont="1" applyBorder="1" applyAlignment="1">
      <alignment horizontal="right"/>
    </xf>
    <xf fontId="36" fillId="13" borderId="0" numFmtId="0" xfId="0" applyFont="1" applyFill="1" applyAlignment="1">
      <alignment horizontal="center"/>
    </xf>
    <xf fontId="26" fillId="0" borderId="0" numFmtId="0" xfId="0" applyFont="1" applyAlignment="1">
      <alignment horizontal="center"/>
    </xf>
    <xf fontId="25" fillId="0" borderId="0" numFmtId="169" xfId="0" applyNumberFormat="1" applyFont="1" applyAlignment="1">
      <alignment horizontal="right"/>
    </xf>
    <xf fontId="25" fillId="0" borderId="0" numFmtId="165" xfId="0" applyNumberFormat="1" applyFont="1" applyAlignment="1">
      <alignment horizontal="right"/>
    </xf>
    <xf fontId="27" fillId="0" borderId="0" numFmtId="176" xfId="0" applyNumberFormat="1" applyFont="1" applyAlignment="1">
      <alignment horizontal="right"/>
    </xf>
    <xf fontId="26" fillId="0" borderId="6" numFmtId="0" xfId="0" applyFont="1" applyBorder="1" applyAlignment="1">
      <alignment horizontal="center"/>
    </xf>
    <xf fontId="25" fillId="0" borderId="6" numFmtId="165" xfId="0" applyNumberFormat="1" applyFont="1" applyBorder="1" applyAlignment="1">
      <alignment horizontal="right"/>
    </xf>
    <xf fontId="27" fillId="0" borderId="6" numFmtId="169" xfId="0" applyNumberFormat="1" applyFont="1" applyBorder="1" applyAlignment="1">
      <alignment horizontal="right"/>
    </xf>
    <xf fontId="27" fillId="0" borderId="6" numFmtId="176" xfId="0" applyNumberFormat="1" applyFont="1" applyBorder="1" applyAlignment="1">
      <alignment horizontal="right"/>
    </xf>
    <xf fontId="26" fillId="0" borderId="7" numFmtId="0" xfId="0" applyFont="1" applyBorder="1" applyAlignment="1">
      <alignment horizontal="center"/>
    </xf>
    <xf fontId="25" fillId="0" borderId="7" numFmtId="165" xfId="0" applyNumberFormat="1" applyFont="1" applyBorder="1" applyAlignment="1">
      <alignment horizontal="right"/>
    </xf>
    <xf fontId="27" fillId="0" borderId="7" numFmtId="169" xfId="0" applyNumberFormat="1" applyFont="1" applyBorder="1" applyAlignment="1">
      <alignment horizontal="right"/>
    </xf>
    <xf fontId="19" fillId="0" borderId="7" numFmtId="169" xfId="0" applyNumberFormat="1" applyFont="1" applyBorder="1" applyAlignment="1">
      <alignment horizontal="right"/>
    </xf>
    <xf fontId="27" fillId="0" borderId="7" numFmtId="176" xfId="0" applyNumberFormat="1" applyFont="1" applyBorder="1" applyAlignment="1">
      <alignment horizontal="right"/>
    </xf>
    <xf fontId="27" fillId="15" borderId="0" numFmtId="0" xfId="0" applyFont="1" applyFill="1"/>
    <xf fontId="19" fillId="15" borderId="0" numFmtId="0" xfId="0" applyFont="1" applyFill="1"/>
    <xf fontId="27" fillId="15" borderId="0" numFmtId="176" xfId="0" applyNumberFormat="1" applyFont="1" applyFill="1"/>
    <xf fontId="37" fillId="0" borderId="0" numFmtId="0" xfId="0" applyFont="1"/>
    <xf fontId="35" fillId="0" borderId="0" numFmtId="0" xfId="0" applyFont="1" applyAlignment="1">
      <alignment horizontal="right"/>
    </xf>
    <xf fontId="29" fillId="0" borderId="0" numFmtId="175" xfId="0" applyNumberFormat="1" applyFont="1" applyAlignment="1">
      <alignment horizontal="right"/>
    </xf>
    <xf fontId="19" fillId="0" borderId="0" numFmtId="0" xfId="0" applyFont="1" applyAlignment="1">
      <alignment horizontal="right"/>
    </xf>
    <xf fontId="19" fillId="0" borderId="0" numFmtId="173" xfId="0" applyNumberFormat="1" applyFont="1" applyAlignment="1">
      <alignment horizontal="right"/>
    </xf>
    <xf fontId="25" fillId="0" borderId="0" numFmtId="0" xfId="0" applyFont="1" applyAlignment="1">
      <alignment horizontal="right"/>
    </xf>
    <xf fontId="27" fillId="0" borderId="0" numFmtId="167" xfId="0" applyNumberFormat="1" applyFont="1" applyAlignment="1">
      <alignment horizontal="right"/>
    </xf>
    <xf fontId="25" fillId="0" borderId="0" numFmtId="167" xfId="0" applyNumberFormat="1" applyFont="1" applyAlignment="1">
      <alignment horizontal="right"/>
    </xf>
    <xf fontId="25" fillId="0" borderId="0" numFmtId="17" xfId="0" applyNumberFormat="1" applyFont="1" applyAlignment="1">
      <alignment horizontal="right"/>
    </xf>
    <xf fontId="19" fillId="0" borderId="0" numFmtId="167" xfId="0" applyNumberFormat="1" applyFont="1" applyAlignment="1">
      <alignment horizontal="right"/>
    </xf>
    <xf fontId="29" fillId="0" borderId="0" numFmtId="167" xfId="0" applyNumberFormat="1" applyFont="1" applyAlignment="1">
      <alignment horizontal="right"/>
    </xf>
    <xf fontId="37" fillId="0" borderId="11" numFmtId="0" xfId="0" applyFont="1" applyBorder="1"/>
    <xf fontId="25" fillId="0" borderId="11" numFmtId="0" xfId="0" applyFont="1" applyBorder="1" applyAlignment="1">
      <alignment horizontal="right"/>
    </xf>
    <xf fontId="27" fillId="0" borderId="0" numFmtId="0" xfId="0" applyFont="1"/>
    <xf fontId="34" fillId="0" borderId="0" numFmtId="169" xfId="0" applyNumberFormat="1" applyFont="1" applyAlignment="1">
      <alignment horizontal="right"/>
    </xf>
    <xf fontId="27" fillId="0" borderId="12" numFmtId="0" xfId="0" applyFont="1" applyBorder="1"/>
    <xf fontId="34" fillId="0" borderId="12" numFmtId="169" xfId="0" applyNumberFormat="1" applyFont="1" applyBorder="1" applyAlignment="1">
      <alignment horizontal="right"/>
    </xf>
    <xf fontId="25" fillId="0" borderId="0" numFmtId="0" xfId="0" applyFont="1"/>
    <xf fontId="21" fillId="0" borderId="0" numFmtId="0" xfId="0" applyFont="1"/>
    <xf fontId="38" fillId="0" borderId="0" numFmtId="0" xfId="0" applyFont="1"/>
    <xf fontId="39" fillId="0" borderId="0" numFmtId="0" xfId="0" applyFont="1"/>
    <xf fontId="10" fillId="16" borderId="0" numFmtId="0" xfId="0" applyFont="1" applyFill="1"/>
    <xf fontId="4" fillId="0" borderId="0" numFmtId="10" xfId="0" applyNumberFormat="1" applyFont="1"/>
    <xf fontId="4" fillId="0" borderId="0" numFmtId="167" xfId="0" applyNumberFormat="1" applyFont="1"/>
    <xf fontId="0" fillId="2" borderId="0" numFmtId="0" xfId="0" applyFill="1"/>
    <xf fontId="4" fillId="2" borderId="0" numFmtId="0" xfId="0" applyFont="1" applyFill="1"/>
    <xf fontId="0" fillId="16" borderId="0" numFmtId="0" xfId="0" applyFill="1"/>
    <xf fontId="40" fillId="0" borderId="0" numFmtId="0" xfId="0" applyFont="1"/>
    <xf fontId="9" fillId="16" borderId="0" numFmtId="0" xfId="0" applyFont="1" applyFill="1"/>
    <xf fontId="4" fillId="0" borderId="0" numFmtId="169" xfId="0" applyNumberFormat="1" applyFont="1"/>
    <xf fontId="2" fillId="17" borderId="0" numFmtId="165" xfId="0" applyNumberFormat="1" applyFont="1" applyFill="1"/>
    <xf fontId="11" fillId="0" borderId="0" numFmtId="0" xfId="0" applyFont="1"/>
    <xf fontId="4" fillId="0" borderId="0" numFmtId="1" xfId="0" applyNumberFormat="1" applyFont="1"/>
    <xf fontId="8" fillId="0" borderId="0" numFmtId="167" xfId="0" applyNumberFormat="1" applyFont="1"/>
    <xf fontId="2" fillId="0" borderId="0" numFmtId="169" xfId="0" applyNumberFormat="1" applyFont="1"/>
    <xf fontId="9" fillId="17" borderId="0" numFmtId="0" xfId="0" applyFont="1" applyFill="1"/>
    <xf fontId="2" fillId="17" borderId="0" numFmt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10" Type="http://schemas.openxmlformats.org/officeDocument/2006/relationships/worksheet" Target="worksheets/sheet8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Worth Trend — 2026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'Wealth Management 2026'!$B$47</c:f>
              <c:strCache>
                <c:ptCount val="1"/>
                <c:pt idx="0">
                  <c:v>Total Assets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'Wealth Management 2026'!$A$48:$A$50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'Wealth Management 2026'!$B$48:$B$50</c:f>
              <c:numCache>
                <c:formatCode>"$"#,##0</c:formatCode>
                <c:ptCount val="3"/>
                <c:pt idx="0">
                  <c:v>50123.35</c:v>
                </c:pt>
                <c:pt idx="1">
                  <c:v>50323.35</c:v>
                </c:pt>
                <c:pt idx="2">
                  <c:v>48412.899999999994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'Wealth Management 2026'!$C$47</c:f>
              <c:strCache>
                <c:ptCount val="1"/>
                <c:pt idx="0">
                  <c:v>Total Liabilities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'Wealth Management 2026'!$A$48:$A$50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'Wealth Management 2026'!$C$48:$C$50</c:f>
              <c:numCache>
                <c:formatCode>"$"#,##0</c:formatCode>
                <c:ptCount val="3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'Wealth Management 2026'!$D$47</c:f>
              <c:strCache>
                <c:ptCount val="1"/>
                <c:pt idx="0">
                  <c:v>Net Worth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'Wealth Management 2026'!$A$48:$A$50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'Wealth Management 2026'!$D$48:$D$50</c:f>
              <c:numCache>
                <c:formatCode>"$"#,##0</c:formatCode>
                <c:ptCount val="3"/>
                <c:pt idx="0">
                  <c:v>20123.35</c:v>
                </c:pt>
                <c:pt idx="1">
                  <c:v>20323.35</c:v>
                </c:pt>
                <c:pt idx="2">
                  <c:v>18412.899999999994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242753776"/>
        <c:axId val="242755216"/>
      </c:lineChart>
      <c:catAx>
        <c:axId val="24275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55216"/>
        <c:crosses val="autoZero"/>
        <c:auto val="1"/>
        <c:lblAlgn val="ctr"/>
        <c:lblOffset val="100"/>
        <c:noMultiLvlLbl val="0"/>
      </c:catAx>
      <c:valAx>
        <c:axId val="24275521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53776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Allocation (Current)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'Wealth Management 2026'!$A$62:$A$65</c:f>
              <c:strCache>
                <c:ptCount val="4"/>
                <c:pt idx="0">
                  <c:v>HYSA</c:v>
                </c:pt>
                <c:pt idx="1">
                  <c:v>Brokerage</c:v>
                </c:pt>
                <c:pt idx="2">
                  <c:v>401(k)</c:v>
                </c:pt>
                <c:pt idx="3">
                  <c:v>Other Assets</c:v>
                </c:pt>
              </c:strCache>
            </c:strRef>
          </c:cat>
          <c:val>
            <c:numRef>
              <c:f>'Wealth Management 2026'!$B$62:$B$65</c:f>
              <c:numCache>
                <c:formatCode>"$"#,##0</c:formatCode>
                <c:ptCount val="4"/>
                <c:pt idx="0">
                  <c:v>12600</c:v>
                </c:pt>
                <c:pt idx="1">
                  <c:v>33962.45</c:v>
                </c:pt>
                <c:pt idx="2">
                  <c:v>1850.45</c:v>
                </c:pt>
                <c:pt idx="3">
                  <c:v>0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  <c:holeSize val="75"/>
      </c:doughnut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66</xdr:row>
      <xdr:rowOff>0</xdr:rowOff>
    </xdr:from>
    <xdr:to>
      <xdr:col>5</xdr:col>
      <xdr:colOff>5080</xdr:colOff>
      <xdr:row>90</xdr:row>
      <xdr:rowOff>40640</xdr:rowOff>
    </xdr:to>
    <xdr:graphicFrame>
      <xdr:nvGraphicFramePr>
        <xdr:cNvPr id="7" name="Chart 6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5</xdr:col>
      <xdr:colOff>0</xdr:colOff>
      <xdr:row>66</xdr:row>
      <xdr:rowOff>0</xdr:rowOff>
    </xdr:from>
    <xdr:to>
      <xdr:col>9</xdr:col>
      <xdr:colOff>180340</xdr:colOff>
      <xdr:row>90</xdr:row>
      <xdr:rowOff>40640</xdr:rowOff>
    </xdr:to>
    <xdr:graphicFrame>
      <xdr:nvGraphicFramePr>
        <xdr:cNvPr id="8" name="Chart 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shall Roberts" id="{EC117250-F1DD-AC39-26A6-878CA3A61FBA}" userId="85e6de51c7144b73" providerId="Windows Live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6-03-22T19:09:57.70Z" personId="{EC117250-F1DD-AC39-26A6-878CA3A61FBA}" id="{D197765A-FC62-4834-80E1-501BB15B14FD}" done="0">
    <text xml:space="preserve">Source: CarGurus listing #426326739, 2023 Toyota Camry SE AWD, 52,570 mi, accessed Mar 22 2026. https://www.cargurus.com/details/426326739
</text>
  </threadedComment>
  <threadedComment ref="C14" dT="2026-03-22T19:09:57.70Z" personId="{EC117250-F1DD-AC39-26A6-878CA3A61FBA}" id="{712A3366-1748-4B5F-A551-84BCE75A482B}" done="0">
    <text xml:space="preserve">Source: CarGurus listing #440072860, 2023 Subaru Crosstrek, 72,574 mi, $19,721 incl. $221 delivery. https://www.cargurus.com/details/440072860
</text>
  </threadedComment>
  <threadedComment ref="B16" dT="2026-03-22T19:09:57.70Z" personId="{EC117250-F1DD-AC39-26A6-878CA3A61FBA}" id="{B45D732D-4989-4803-9887-855D6DBD7CF8}" done="0">
    <text xml:space="preserve">Estimate: ~8% APR for prime-credit used car buyer. Experian Q4 2025 avg used = 11.26%, prime tier substantially lower. Pre-qualify to confirm.
</text>
  </threadedComment>
  <threadedComment ref="B18" dT="2026-03-22T19:09:57.70Z" personId="{EC117250-F1DD-AC39-26A6-878CA3A61FBA}" id="{CFE42927-7041-45C7-BC6F-6B8FEBE87411}" done="0">
    <text xml:space="preserve">Estimate: Full coverage auto insurance, Buffalo NY, mid-20s male, 2023 sedan. Get actual quotes.
</text>
  </threadedComment>
  <threadedComment ref="C18" dT="2026-03-22T19:09:57.70Z" personId="{EC117250-F1DD-AC39-26A6-878CA3A61FBA}" id="{E30D4556-A9A8-4178-ADAC-7B251911CA4D}" done="0">
    <text xml:space="preserve">Estimate: Full coverage auto insurance, Buffalo NY, mid-20s male, 2023 crossover. Get actual quotes.
</text>
  </threadedComment>
</ThreadedComment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C14" activeCellId="0" sqref="C14"/>
    </sheetView>
  </sheetViews>
  <sheetFormatPr defaultColWidth="12.7109375" defaultRowHeight="15.75" customHeight="1" outlineLevelCol="1"/>
  <cols>
    <col customWidth="1" min="1" max="1" width="38.85546875"/>
    <col customWidth="1" min="2" max="2" width="20.28515625"/>
    <col customWidth="1" min="3" max="3" width="13.85546875"/>
    <col customWidth="1" min="4" max="4" width="17.5703125"/>
    <col customWidth="1" min="5" max="5" width="15.7109375"/>
    <col customWidth="1" min="6" max="6" width="12"/>
    <col customWidth="1" min="7" max="7" style="1" width="18.5703125"/>
    <col customWidth="1" min="8" max="9" width="18.5703125"/>
    <col customWidth="1" min="10" max="10" width="16.7109375"/>
    <col customWidth="1" min="11" max="11" width="12"/>
    <col customWidth="1" min="12" max="13" width="15.7109375"/>
    <col collapsed="1" customWidth="1" min="14" max="14" width="33.28515625"/>
    <col customWidth="1" hidden="1" min="15" max="15" outlineLevel="1" width="0"/>
  </cols>
  <sheetData>
    <row r="1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ht="13.15">
      <c r="A2" s="6" t="s">
        <v>15</v>
      </c>
      <c r="B2" s="6">
        <v>27</v>
      </c>
      <c r="C2" s="6">
        <v>2</v>
      </c>
      <c r="D2" s="7">
        <f ca="1">IF(
  DATE(
    YEAR(TODAY()),
    MONTH(TODAY()),
    MIN(C2, DAY(EOMONTH(TODAY(), 0)))
  ) &gt;= TODAY(),
  DATE(
    YEAR(TODAY()),
    MONTH(TODAY()),
    MIN(C2, DAY(EOMONTH(TODAY(), 0)))
  ),
  EDATE(
    DATE(
      YEAR(TODAY()),
      MONTH(TODAY()),
      MIN(C2, DAY(EOMONTH(TODAY(), 0)))
    ),
    1
  )
)</f>
        <v>46144</v>
      </c>
      <c r="E2" s="6" t="s">
        <v>16</v>
      </c>
      <c r="F2" s="6" t="b">
        <v>1</v>
      </c>
      <c r="G2" s="1">
        <f ca="1">IF($D2="","",IFERROR($D2-Dashboard!$B$14,""))</f>
        <v>46143</v>
      </c>
      <c r="H2" t="b">
        <f ca="1">AND($F2=TRUE,$B2&gt;0,$D2&gt;=TODAY(),$D2&lt;Dashboard!$B$4)</f>
        <v>1</v>
      </c>
      <c r="I2" s="1">
        <f ca="1">IF(D2="","",D2-Dashboard!$B$14)</f>
        <v>46143</v>
      </c>
      <c r="J2" t="s">
        <v>17</v>
      </c>
      <c r="K2" s="8" t="b">
        <v>1</v>
      </c>
      <c r="L2" s="9"/>
      <c r="M2" s="10">
        <f t="shared" ref="M2:M13" si="0">IF(E2="Monthly",B2*12,IF(E2="Quarterly",B2*4,IF(E2="Annual",B2,B2*12)))</f>
        <v>324</v>
      </c>
      <c r="O2" cm="1">
        <f t="array" ref="O2">IF(AND(F2=TRUE,D2&lt;&gt;""),SUMPRODUCT((D$2:D$13&lt;D2)*(F$2:F$13=TRUE)*(D$2:D$13&lt;&gt;""))+SUMPRODUCT((D$2:D$13=D2)*(F$2:F$13=TRUE)*(D$2:D$13&lt;&gt;"")*($A$2:$A$13&lt;A2))+1,"")</f>
        <v>1</v>
      </c>
    </row>
    <row r="3" ht="13.15">
      <c r="A3" s="6" t="s">
        <v>18</v>
      </c>
      <c r="B3" s="6">
        <v>65</v>
      </c>
      <c r="C3" s="6">
        <v>2</v>
      </c>
      <c r="D3" s="7">
        <f t="shared" ref="D3:D66" ca="1" si="1">IF(OR(C3="",F3=FALSE),"",IF(DATE(YEAR(TODAY()),MONTH(TODAY()),C3)&gt;=TODAY(),DATE(YEAR(TODAY()),MONTH(TODAY()),C3),EDATE(DATE(YEAR(TODAY()),MONTH(TODAY()),C3),1)))</f>
        <v>46144</v>
      </c>
      <c r="E3" s="6" t="s">
        <v>16</v>
      </c>
      <c r="F3" s="6" t="b">
        <v>1</v>
      </c>
      <c r="G3" s="1">
        <f ca="1">IF($D3="","",IFERROR($D3-Dashboard!$B$14,""))</f>
        <v>46143</v>
      </c>
      <c r="H3" t="b">
        <f ca="1">AND($F3=TRUE,$B3&gt;0,$D3&gt;=TODAY(),$D3&lt;Dashboard!$B$4)</f>
        <v>1</v>
      </c>
      <c r="I3" s="1">
        <f ca="1">IF(D3="","",D3-Dashboard!$B$14)</f>
        <v>46143</v>
      </c>
      <c r="J3" t="s">
        <v>19</v>
      </c>
      <c r="K3" s="8" t="b">
        <v>1</v>
      </c>
      <c r="L3" s="9"/>
      <c r="M3" s="10">
        <f t="shared" si="0"/>
        <v>780</v>
      </c>
      <c r="O3" cm="1">
        <f t="array" ref="O3">IF(AND(F3=TRUE,D3&lt;&gt;""),SUMPRODUCT((D$2:D$13&lt;D3)*(F$2:F$13=TRUE)*(D$2:D$13&lt;&gt;""))+SUMPRODUCT((D$2:D$13=D3)*(F$2:F$13=TRUE)*(D$2:D$13&lt;&gt;"")*($A$2:$A$13&lt;A3))+1,"")</f>
        <v>2</v>
      </c>
    </row>
    <row r="4" ht="13.15">
      <c r="A4" s="6" t="s">
        <v>20</v>
      </c>
      <c r="B4" s="6">
        <v>21</v>
      </c>
      <c r="C4" s="6">
        <v>3</v>
      </c>
      <c r="D4" s="7">
        <f t="shared" ca="1" si="1"/>
        <v>46145</v>
      </c>
      <c r="E4" s="6" t="s">
        <v>16</v>
      </c>
      <c r="F4" s="6" t="b">
        <v>1</v>
      </c>
      <c r="G4" s="1">
        <f ca="1">IF($D4="","",IFERROR($D4-Dashboard!$B$14,""))</f>
        <v>46144</v>
      </c>
      <c r="H4" t="b">
        <f ca="1">AND($F4=TRUE,$B4&gt;0,$D4&gt;=TODAY(),$D4&lt;Dashboard!$B$4)</f>
        <v>1</v>
      </c>
      <c r="I4" s="1">
        <f ca="1">IF(D4="","",D4-Dashboard!$B$14)</f>
        <v>46144</v>
      </c>
      <c r="J4" t="s">
        <v>17</v>
      </c>
      <c r="K4" s="8" t="b">
        <v>1</v>
      </c>
      <c r="L4" s="9"/>
      <c r="M4" s="10">
        <f t="shared" si="0"/>
        <v>252</v>
      </c>
      <c r="N4" t="s">
        <v>21</v>
      </c>
      <c r="O4" cm="1">
        <f t="array" ref="O4">IF(AND(F4=TRUE,D4&lt;&gt;""),SUMPRODUCT((D$2:D$13&lt;D4)*(F$2:F$13=TRUE)*(D$2:D$13&lt;&gt;""))+SUMPRODUCT((D$2:D$13=D4)*(F$2:F$13=TRUE)*(D$2:D$13&lt;&gt;"")*($A$2:$A$13&lt;A4))+1,"")</f>
        <v>3</v>
      </c>
    </row>
    <row r="5" ht="13.15">
      <c r="A5" s="6" t="s">
        <v>22</v>
      </c>
      <c r="B5" s="6">
        <v>1000</v>
      </c>
      <c r="C5" s="6">
        <v>4</v>
      </c>
      <c r="D5" s="7">
        <f t="shared" ca="1" si="1"/>
        <v>46146</v>
      </c>
      <c r="E5" s="6" t="s">
        <v>16</v>
      </c>
      <c r="F5" s="6" t="b">
        <v>1</v>
      </c>
      <c r="G5" s="1">
        <f ca="1">IF($D5="","",IFERROR($D5-Dashboard!$B$14,""))</f>
        <v>46145</v>
      </c>
      <c r="H5" t="b">
        <f ca="1">AND($F5=TRUE,$B5&gt;0,$D5&gt;=TODAY(),$D5&lt;Dashboard!$B$4)</f>
        <v>1</v>
      </c>
      <c r="I5" s="1">
        <f ca="1">IF(D5="","",D5-Dashboard!$B$14)</f>
        <v>46145</v>
      </c>
      <c r="J5" t="s">
        <v>19</v>
      </c>
      <c r="K5" s="8" t="b">
        <v>1</v>
      </c>
      <c r="L5" s="9"/>
      <c r="M5" s="10">
        <f t="shared" si="0"/>
        <v>12000</v>
      </c>
      <c r="N5" t="s">
        <v>23</v>
      </c>
      <c r="O5" cm="1">
        <f t="array" ref="O5">IF(AND(F5=TRUE,D5&lt;&gt;""),SUMPRODUCT((D$2:D$13&lt;D5)*(F$2:F$13=TRUE)*(D$2:D$13&lt;&gt;""))+SUMPRODUCT((D$2:D$13=D5)*(F$2:F$13=TRUE)*(D$2:D$13&lt;&gt;"")*($A$2:$A$13&lt;A5))+1,"")</f>
        <v>4</v>
      </c>
    </row>
    <row r="6" ht="13.15">
      <c r="A6" s="6" t="s">
        <v>24</v>
      </c>
      <c r="B6" s="6">
        <v>337</v>
      </c>
      <c r="C6" s="6">
        <v>4</v>
      </c>
      <c r="D6" s="7" t="str">
        <f t="shared" ca="1" si="1"/>
        <v/>
      </c>
      <c r="E6" s="6" t="s">
        <v>16</v>
      </c>
      <c r="F6" s="6" t="b">
        <v>0</v>
      </c>
      <c r="G6" s="1" t="str">
        <f ca="1">IF($D6="","",IFERROR($D6-Dashboard!$B$14,""))</f>
        <v/>
      </c>
      <c r="H6" t="b">
        <f ca="1">AND($F6=TRUE,$B6&gt;0,$D6&gt;=TODAY(),$D6&lt;Dashboard!$B$4)</f>
        <v>0</v>
      </c>
      <c r="I6" s="1" t="str">
        <f ca="1">IF(D6="","",D6-Dashboard!$B$14)</f>
        <v/>
      </c>
      <c r="J6" t="s">
        <v>25</v>
      </c>
      <c r="K6" s="11" t="b">
        <v>1</v>
      </c>
      <c r="L6" s="9"/>
      <c r="M6" s="10">
        <f t="shared" si="0"/>
        <v>4044</v>
      </c>
      <c r="N6" t="s">
        <v>26</v>
      </c>
      <c r="O6" t="str" cm="1">
        <f t="array" ref="O6">IF(AND(F6=TRUE,D6&lt;&gt;""),SUMPRODUCT((D$2:D$13&lt;D6)*(F$2:F$13=TRUE)*(D$2:D$13&lt;&gt;""))+SUMPRODUCT((D$2:D$13=D6)*(F$2:F$13=TRUE)*(D$2:D$13&lt;&gt;"")*($A$2:$A$13&lt;A6))+1,"")</f>
        <v/>
      </c>
    </row>
    <row r="7" ht="13.15">
      <c r="A7" s="6" t="s">
        <v>27</v>
      </c>
      <c r="B7" s="6">
        <v>141.94999999999999</v>
      </c>
      <c r="C7" s="6">
        <v>8</v>
      </c>
      <c r="D7" s="7">
        <f t="shared" ca="1" si="1"/>
        <v>46150</v>
      </c>
      <c r="E7" s="6" t="s">
        <v>16</v>
      </c>
      <c r="F7" s="6" t="b">
        <v>1</v>
      </c>
      <c r="G7" s="1">
        <f ca="1">IF($D7="","",IFERROR($D7-Dashboard!$B$14,""))</f>
        <v>46149</v>
      </c>
      <c r="H7" t="b">
        <f ca="1">AND($F7=TRUE,$B7&gt;0,$D7&gt;=TODAY(),$D7&lt;Dashboard!$B$4)</f>
        <v>0</v>
      </c>
      <c r="I7" s="1">
        <f ca="1">IF(D7="","",D7-Dashboard!$B$14)</f>
        <v>46149</v>
      </c>
      <c r="J7" t="s">
        <v>19</v>
      </c>
      <c r="K7" s="8" t="b">
        <v>1</v>
      </c>
      <c r="L7" s="9"/>
      <c r="M7" s="10">
        <f t="shared" si="0"/>
        <v>1703.3999999999999</v>
      </c>
      <c r="O7" cm="1">
        <f t="array" ref="O7">IF(AND(F7=TRUE,D7&lt;&gt;""),SUMPRODUCT((D$2:D$13&lt;D7)*(F$2:F$13=TRUE)*(D$2:D$13&lt;&gt;""))+SUMPRODUCT((D$2:D$13=D7)*(F$2:F$13=TRUE)*(D$2:D$13&lt;&gt;"")*($A$2:$A$13&lt;A7))+1,"")</f>
        <v>5</v>
      </c>
    </row>
    <row r="8" ht="13.15">
      <c r="A8" s="6" t="s">
        <v>28</v>
      </c>
      <c r="B8" s="6">
        <v>14</v>
      </c>
      <c r="C8" s="6">
        <v>15</v>
      </c>
      <c r="D8" s="7">
        <f t="shared" ca="1" si="1"/>
        <v>46157</v>
      </c>
      <c r="E8" s="6" t="s">
        <v>16</v>
      </c>
      <c r="F8" s="6" t="b">
        <v>1</v>
      </c>
      <c r="G8" s="1">
        <f ca="1">IF($D8="","",IFERROR($D8-Dashboard!$B$14,""))</f>
        <v>46156</v>
      </c>
      <c r="H8" t="b">
        <f ca="1">AND($F8=TRUE,$B8&gt;0,$D8&gt;=TODAY(),$D8&lt;Dashboard!$B$4)</f>
        <v>0</v>
      </c>
      <c r="I8" s="1">
        <f ca="1">IF(D8="","",D8-Dashboard!$B$14)</f>
        <v>46156</v>
      </c>
      <c r="J8" t="s">
        <v>17</v>
      </c>
      <c r="K8" s="8" t="b">
        <v>1</v>
      </c>
      <c r="L8" s="9"/>
      <c r="M8" s="10">
        <f t="shared" si="0"/>
        <v>168</v>
      </c>
      <c r="N8" t="s">
        <v>21</v>
      </c>
      <c r="O8" cm="1">
        <f t="array" ref="O8">IF(AND(F8=TRUE,D8&lt;&gt;""),SUMPRODUCT((D$2:D$13&lt;D8)*(F$2:F$13=TRUE)*(D$2:D$13&lt;&gt;""))+SUMPRODUCT((D$2:D$13=D8)*(F$2:F$13=TRUE)*(D$2:D$13&lt;&gt;"")*($A$2:$A$13&lt;A8))+1,"")</f>
        <v>6</v>
      </c>
    </row>
    <row r="9" ht="13.15">
      <c r="A9" s="6" t="s">
        <v>29</v>
      </c>
      <c r="B9" s="6">
        <v>175</v>
      </c>
      <c r="C9" s="6">
        <v>16</v>
      </c>
      <c r="D9" s="7">
        <f t="shared" ca="1" si="1"/>
        <v>46158</v>
      </c>
      <c r="E9" s="6" t="s">
        <v>16</v>
      </c>
      <c r="F9" s="6" t="b">
        <v>1</v>
      </c>
      <c r="G9" s="1">
        <f ca="1">IF($D9="","",IFERROR($D9-Dashboard!$B$14,""))</f>
        <v>46157</v>
      </c>
      <c r="H9" t="b">
        <f ca="1">AND($F9=TRUE,$B9&gt;0,$D9&gt;=TODAY(),$D9&lt;Dashboard!$B$4)</f>
        <v>0</v>
      </c>
      <c r="I9" s="1">
        <f ca="1">IF(D9="","",D9-Dashboard!$B$14)</f>
        <v>46157</v>
      </c>
      <c r="J9" t="s">
        <v>19</v>
      </c>
      <c r="K9" s="12" t="b">
        <v>0</v>
      </c>
      <c r="L9" s="9"/>
      <c r="M9" s="10">
        <f t="shared" si="0"/>
        <v>2100</v>
      </c>
      <c r="N9" t="s">
        <v>30</v>
      </c>
      <c r="O9" cm="1">
        <f t="array" ref="O9">IF(AND(F9=TRUE,D9&lt;&gt;""),SUMPRODUCT((D$2:D$13&lt;D9)*(F$2:F$13=TRUE)*(D$2:D$13&lt;&gt;""))+SUMPRODUCT((D$2:D$13=D9)*(F$2:F$13=TRUE)*(D$2:D$13&lt;&gt;"")*($A$2:$A$13&lt;A9))+1,"")</f>
        <v>7</v>
      </c>
    </row>
    <row r="10" ht="13.15">
      <c r="A10" s="6" t="s">
        <v>31</v>
      </c>
      <c r="B10" s="6">
        <v>70</v>
      </c>
      <c r="C10" s="6">
        <v>19</v>
      </c>
      <c r="D10" s="7">
        <f t="shared" ca="1" si="1"/>
        <v>46161</v>
      </c>
      <c r="E10" s="6" t="s">
        <v>16</v>
      </c>
      <c r="F10" s="6" t="b">
        <v>1</v>
      </c>
      <c r="G10" s="1">
        <f ca="1">IF($D10="","",IFERROR($D10-Dashboard!$B$14,""))</f>
        <v>46160</v>
      </c>
      <c r="H10" t="b">
        <f ca="1">AND($F10=TRUE,$B10&gt;0,$D10&gt;=TODAY(),$D10&lt;Dashboard!$B$4)</f>
        <v>0</v>
      </c>
      <c r="I10" s="1">
        <f ca="1">IF(D10="","",D10-Dashboard!$B$14)</f>
        <v>46160</v>
      </c>
      <c r="J10" t="s">
        <v>19</v>
      </c>
      <c r="K10" s="12" t="b">
        <v>0</v>
      </c>
      <c r="L10" s="9"/>
      <c r="M10" s="10">
        <f t="shared" si="0"/>
        <v>840</v>
      </c>
      <c r="N10" t="s">
        <v>30</v>
      </c>
      <c r="O10" cm="1">
        <f t="array" ref="O10">IF(AND(F10=TRUE,D10&lt;&gt;""),SUMPRODUCT((D$2:D$13&lt;D10)*(F$2:F$13=TRUE)*(D$2:D$13&lt;&gt;""))+SUMPRODUCT((D$2:D$13=D10)*(F$2:F$13=TRUE)*(D$2:D$13&lt;&gt;"")*($A$2:$A$13&lt;A10))+1,"")</f>
        <v>8</v>
      </c>
    </row>
    <row r="11" ht="13.15">
      <c r="A11" s="6" t="s">
        <v>32</v>
      </c>
      <c r="B11" s="6">
        <v>10</v>
      </c>
      <c r="C11" s="6">
        <v>22</v>
      </c>
      <c r="D11" s="7">
        <f t="shared" ca="1" si="1"/>
        <v>46164</v>
      </c>
      <c r="E11" s="6" t="s">
        <v>16</v>
      </c>
      <c r="F11" s="6" t="b">
        <v>1</v>
      </c>
      <c r="G11" s="1">
        <f ca="1">IF($D11="","",IFERROR($D11-Dashboard!$B$14,""))</f>
        <v>46163</v>
      </c>
      <c r="H11" t="b">
        <f ca="1">AND($F11=TRUE,$B11&gt;0,$D11&gt;=TODAY(),$D11&lt;Dashboard!$B$4)</f>
        <v>0</v>
      </c>
      <c r="I11" s="1">
        <f ca="1">IF(D11="","",D11-Dashboard!$B$14)</f>
        <v>46163</v>
      </c>
      <c r="J11" t="s">
        <v>19</v>
      </c>
      <c r="K11" s="8" t="b">
        <v>1</v>
      </c>
      <c r="L11" s="9"/>
      <c r="M11" s="10">
        <f t="shared" si="0"/>
        <v>120</v>
      </c>
      <c r="O11" cm="1">
        <f t="array" ref="O11">IF(AND(F11=TRUE,D11&lt;&gt;""),SUMPRODUCT((D$2:D$13&lt;D11)*(F$2:F$13=TRUE)*(D$2:D$13&lt;&gt;""))+SUMPRODUCT((D$2:D$13=D11)*(F$2:F$13=TRUE)*(D$2:D$13&lt;&gt;"")*($A$2:$A$13&lt;A11))+1,"")</f>
        <v>9</v>
      </c>
    </row>
    <row r="12" ht="13.15">
      <c r="A12" s="6" t="s">
        <v>33</v>
      </c>
      <c r="B12" s="6">
        <v>5.9800000000000004</v>
      </c>
      <c r="C12" s="6"/>
      <c r="D12" s="7"/>
      <c r="E12" s="6" t="s">
        <v>16</v>
      </c>
      <c r="F12" s="6" t="b">
        <v>0</v>
      </c>
      <c r="H12" t="b">
        <f ca="1">AND($F12=TRUE,$B12&gt;0,$D12&gt;=TODAY(),$D12&lt;Dashboard!$B$4)</f>
        <v>0</v>
      </c>
      <c r="I12" s="1" t="str">
        <f ca="1">IF(D12="","",D12-Dashboard!$B$14)</f>
        <v/>
      </c>
      <c r="J12" t="s">
        <v>25</v>
      </c>
      <c r="K12" s="11" t="b">
        <v>0</v>
      </c>
      <c r="L12" s="9"/>
      <c r="M12" s="10">
        <f t="shared" si="0"/>
        <v>71.760000000000005</v>
      </c>
      <c r="N12" t="s">
        <v>34</v>
      </c>
      <c r="O12" t="str" cm="1">
        <f t="array" ref="O12">IF(AND(F12=TRUE,D12&lt;&gt;""),SUMPRODUCT((D$2:D$13&lt;D12)*(F$2:F$13=TRUE)*(D$2:D$13&lt;&gt;""))+SUMPRODUCT((D$2:D$13=D12)*(F$2:F$13=TRUE)*(D$2:D$13&lt;&gt;"")*($A$2:$A$13&lt;A12))+1,"")</f>
        <v/>
      </c>
    </row>
    <row r="13" ht="13.9">
      <c r="A13" s="6" t="s">
        <v>35</v>
      </c>
      <c r="B13" s="6">
        <v>600</v>
      </c>
      <c r="C13" s="13"/>
      <c r="D13" s="14" t="str">
        <f t="shared" ca="1" si="1"/>
        <v/>
      </c>
      <c r="E13" s="6" t="s">
        <v>36</v>
      </c>
      <c r="F13" s="6" t="b">
        <v>0</v>
      </c>
      <c r="G13" s="1" t="str">
        <f ca="1">IF($D13="","",IFERROR($D13-Dashboard!$B$14,""))</f>
        <v/>
      </c>
      <c r="H13" s="15" t="b">
        <f ca="1">AND($F13=TRUE,$B13&gt;0,$D13&gt;=TODAY(),$D13&lt;Dashboard!$B$4)</f>
        <v>0</v>
      </c>
      <c r="I13" s="1" t="str">
        <f ca="1">IF(D13="","",D13-Dashboard!$B$14)</f>
        <v/>
      </c>
      <c r="J13" s="15" t="s">
        <v>36</v>
      </c>
      <c r="K13" s="11" t="b">
        <v>0</v>
      </c>
      <c r="L13" s="9"/>
      <c r="M13" s="10">
        <f t="shared" si="0"/>
        <v>7200</v>
      </c>
      <c r="N13" s="15" t="s">
        <v>37</v>
      </c>
      <c r="O13" t="str" cm="1">
        <f t="array" ref="O13">IF(AND(F13=TRUE,D13&lt;&gt;""),SUMPRODUCT((D$2:D$13&lt;D13)*(F$2:F$13=TRUE)*(D$2:D$13&lt;&gt;""))+SUMPRODUCT((D$2:D$13=D13)*(F$2:F$13=TRUE)*(D$2:D$13&lt;&gt;"")*($A$2:$A$13&lt;A13))+1,"")</f>
        <v/>
      </c>
    </row>
    <row r="14" ht="13.15">
      <c r="A14" s="16"/>
      <c r="B14" s="16"/>
      <c r="C14" s="16"/>
      <c r="D14" s="17" t="str">
        <f t="shared" ca="1" si="1"/>
        <v/>
      </c>
      <c r="E14" s="16"/>
      <c r="F14" s="16"/>
      <c r="G14" s="18"/>
      <c r="H14" s="16"/>
      <c r="I14" s="16"/>
      <c r="J14" s="16"/>
      <c r="K14" s="16"/>
      <c r="L14" s="16"/>
      <c r="M14" s="16"/>
      <c r="N14" s="16"/>
    </row>
    <row r="15" ht="13.9">
      <c r="A15" s="19" t="s">
        <v>38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ht="13.15">
      <c r="A16" s="15" t="s">
        <v>39</v>
      </c>
      <c r="B16" s="20">
        <f>SUMIFS(B2:B13,F2:F13,TRUE)</f>
        <v>1523.95</v>
      </c>
      <c r="D16" s="6" t="str">
        <f t="shared" ca="1" si="1"/>
        <v/>
      </c>
    </row>
    <row r="17" ht="13.15">
      <c r="A17" s="15" t="s">
        <v>40</v>
      </c>
      <c r="B17" s="10">
        <f>SUM(B2:B13)</f>
        <v>2466.9300000000003</v>
      </c>
      <c r="D17" s="6" t="str">
        <f t="shared" ca="1" si="1"/>
        <v/>
      </c>
    </row>
    <row r="18" ht="13.15">
      <c r="A18" s="15" t="s">
        <v>41</v>
      </c>
      <c r="B18" s="10">
        <f>SUMIFS(M2:M13,F2:F13,TRUE)</f>
        <v>18287.400000000001</v>
      </c>
      <c r="D18" s="6" t="str">
        <f t="shared" ca="1" si="1"/>
        <v/>
      </c>
    </row>
    <row r="19" ht="13.15">
      <c r="A19" s="15" t="s">
        <v>42</v>
      </c>
      <c r="B19" s="21">
        <f>IFERROR(B16/Assumptions!B10,0)</f>
        <v>0.47327639751552797</v>
      </c>
      <c r="D19" s="6" t="str">
        <f t="shared" ca="1" si="1"/>
        <v/>
      </c>
    </row>
    <row r="20" ht="13.15">
      <c r="A20" s="15" t="s">
        <v>43</v>
      </c>
      <c r="B20" s="22">
        <f>COUNTIF(F2:F13,TRUE)</f>
        <v>9</v>
      </c>
      <c r="D20" s="6" t="str">
        <f t="shared" ca="1" si="1"/>
        <v/>
      </c>
    </row>
    <row r="21" ht="13.15">
      <c r="A21" s="15" t="s">
        <v>44</v>
      </c>
      <c r="B21" s="22">
        <f>COUNTIF(F2:F13,FALSE)</f>
        <v>3</v>
      </c>
      <c r="D21" s="6" t="str">
        <f t="shared" ca="1" si="1"/>
        <v/>
      </c>
    </row>
    <row r="22" ht="13.15">
      <c r="A22" s="23"/>
      <c r="B22" s="23"/>
      <c r="C22" s="23"/>
      <c r="D22" s="24" t="str">
        <f t="shared" ca="1" si="1"/>
        <v/>
      </c>
      <c r="E22" s="23"/>
      <c r="F22" s="23"/>
      <c r="G22" s="25"/>
      <c r="H22" s="23"/>
      <c r="I22" s="23"/>
      <c r="J22" s="23"/>
      <c r="K22" s="23"/>
      <c r="L22" s="23"/>
      <c r="M22" s="23"/>
      <c r="N22" s="23"/>
    </row>
    <row r="23" ht="13.9">
      <c r="A23" s="19" t="s">
        <v>45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ht="13.15">
      <c r="A24" s="26" t="s">
        <v>9</v>
      </c>
      <c r="B24" s="26" t="s">
        <v>46</v>
      </c>
      <c r="C24" s="26" t="s">
        <v>47</v>
      </c>
      <c r="D24" s="27" t="s">
        <v>48</v>
      </c>
      <c r="E24" s="26" t="s">
        <v>49</v>
      </c>
    </row>
    <row r="25" ht="13.15">
      <c r="A25" s="15" t="s">
        <v>19</v>
      </c>
      <c r="B25" s="10">
        <f>SUMIFS(B2:B13,J2:J13,"Essential",F2:F13,TRUE)</f>
        <v>1461.95</v>
      </c>
      <c r="C25" s="28">
        <f t="shared" ref="C25:C28" si="2">IFERROR(B25/$B$16,0)</f>
        <v>0.95931625053315395</v>
      </c>
      <c r="D25" s="29">
        <f t="shared" ref="D25:D28" si="3">B25*12</f>
        <v>17543.400000000001</v>
      </c>
      <c r="E25">
        <f>COUNTIFS(J2:J13,"Essential",F2:F13,TRUE)</f>
        <v>6</v>
      </c>
    </row>
    <row r="26" ht="13.15">
      <c r="A26" s="15" t="s">
        <v>17</v>
      </c>
      <c r="B26" s="10">
        <f>SUMIFS(B2:B13,J2:J13,"Discretionary",F2:F13,TRUE)</f>
        <v>62</v>
      </c>
      <c r="C26" s="28">
        <f t="shared" si="2"/>
        <v>0.040683749466846025</v>
      </c>
      <c r="D26" s="29">
        <f t="shared" si="3"/>
        <v>744</v>
      </c>
      <c r="E26">
        <f>COUNTIFS(J2:J13,"Discretionary",F2:F13,TRUE)</f>
        <v>3</v>
      </c>
    </row>
    <row r="27" ht="13.15">
      <c r="A27" s="15" t="s">
        <v>25</v>
      </c>
      <c r="B27" s="10">
        <f>SUMIFS(B2:B13,J2:J13,"Debt",F2:F13,TRUE)</f>
        <v>0</v>
      </c>
      <c r="C27" s="28">
        <f t="shared" si="2"/>
        <v>0</v>
      </c>
      <c r="D27" s="29">
        <f t="shared" si="3"/>
        <v>0</v>
      </c>
      <c r="E27">
        <f>COUNTIFS(J2:J13,"Debt",F2:F13,TRUE)</f>
        <v>0</v>
      </c>
    </row>
    <row r="28" ht="13.15">
      <c r="A28" s="15" t="s">
        <v>36</v>
      </c>
      <c r="B28" s="10">
        <f>SUMIFS(B2:B13,J2:J13,"Variable",F2:F13,TRUE)</f>
        <v>0</v>
      </c>
      <c r="C28" s="28">
        <f t="shared" si="2"/>
        <v>0</v>
      </c>
      <c r="D28" s="29">
        <f t="shared" si="3"/>
        <v>0</v>
      </c>
      <c r="E28">
        <f>COUNTIFS(J2:J13,"Variable",F2:F13,TRUE)</f>
        <v>0</v>
      </c>
    </row>
    <row r="29" ht="13.15">
      <c r="A29" s="30" t="s">
        <v>50</v>
      </c>
      <c r="B29" s="31">
        <f>SUM(B25:B28)</f>
        <v>1523.95</v>
      </c>
      <c r="D29" s="6" t="str">
        <f t="shared" ca="1" si="1"/>
        <v/>
      </c>
    </row>
    <row r="30" ht="13.15">
      <c r="A30" s="23"/>
      <c r="B30" s="23"/>
      <c r="C30" s="23"/>
      <c r="D30" s="24" t="str">
        <f t="shared" ca="1" si="1"/>
        <v/>
      </c>
      <c r="E30" s="23"/>
      <c r="F30" s="23"/>
      <c r="G30" s="25"/>
      <c r="H30" s="23"/>
      <c r="I30" s="23"/>
      <c r="J30" s="23"/>
      <c r="K30" s="23"/>
      <c r="L30" s="23"/>
      <c r="M30" s="23"/>
      <c r="N30" s="23"/>
    </row>
    <row r="31" ht="13.9">
      <c r="A31" s="19" t="s">
        <v>51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ht="13.15">
      <c r="A32" s="15" t="s">
        <v>52</v>
      </c>
      <c r="B32" s="22">
        <f>COUNTIFS(K2:K13,TRUE,F2:F13,TRUE)</f>
        <v>7</v>
      </c>
      <c r="D32" s="6" t="str">
        <f t="shared" ca="1" si="1"/>
        <v/>
      </c>
    </row>
    <row r="33" ht="13.15">
      <c r="A33" s="15" t="s">
        <v>53</v>
      </c>
      <c r="B33" s="10">
        <f>SUMIFS(B2:B13,K2:K13,TRUE,F2:F13,TRUE)</f>
        <v>1278.95</v>
      </c>
      <c r="D33" s="6" t="str">
        <f t="shared" ca="1" si="1"/>
        <v/>
      </c>
    </row>
    <row r="34" ht="13.15">
      <c r="A34" s="15" t="s">
        <v>54</v>
      </c>
      <c r="B34" s="22">
        <f>COUNTIFS(K2:K13,FALSE,F2:F13,TRUE)</f>
        <v>2</v>
      </c>
      <c r="D34" s="6" t="str">
        <f t="shared" ca="1" si="1"/>
        <v/>
      </c>
    </row>
    <row r="35" ht="13.15">
      <c r="A35" s="15" t="s">
        <v>55</v>
      </c>
      <c r="B35" s="10">
        <f>SUMIFS(B2:B13,K2:K13,FALSE,F2:F13,TRUE)</f>
        <v>245</v>
      </c>
      <c r="D35" s="6" t="str">
        <f t="shared" ca="1" si="1"/>
        <v/>
      </c>
    </row>
    <row r="36" ht="13.15">
      <c r="A36" s="15" t="s">
        <v>56</v>
      </c>
      <c r="B36" s="32" cm="1">
        <f t="array" ref="B36">IFERROR(MIN(IF((K2:K13=FALSE)*(F2:F13=TRUE)*(D2:D13&lt;&gt;""),D2:D13)),"")</f>
        <v>46158</v>
      </c>
      <c r="D36" s="6" t="str">
        <f t="shared" ca="1" si="1"/>
        <v/>
      </c>
    </row>
    <row r="37" ht="13.15">
      <c r="A37" s="15" t="s">
        <v>57</v>
      </c>
      <c r="B37" s="33" t="str">
        <f ca="1">IF(B34&gt;0,IF(B36&lt;&gt;"",IF(B36-TODAY()&lt;=3,"🔴 MANUAL BILL DUE WITHIN 3 DAYS",IF(B36-TODAY()&lt;=7,"🟡 Manual bill due within 7 days","🟢 No urgent manual bills")),"🟢 No upcoming manual bills"),"🟢 All bills on autopay")</f>
        <v xml:space="preserve">🟢 No urgent manual bills</v>
      </c>
      <c r="D37" s="6" t="str">
        <f t="shared" ca="1" si="1"/>
        <v/>
      </c>
    </row>
    <row r="38" ht="13.15">
      <c r="A38" s="23"/>
      <c r="B38" s="23"/>
      <c r="C38" s="23"/>
      <c r="D38" s="24" t="str">
        <f t="shared" ca="1" si="1"/>
        <v/>
      </c>
      <c r="E38" s="23"/>
      <c r="F38" s="23"/>
      <c r="G38" s="25"/>
      <c r="H38" s="23"/>
      <c r="I38" s="23"/>
      <c r="J38" s="23"/>
      <c r="K38" s="23"/>
      <c r="L38" s="23"/>
      <c r="M38" s="23"/>
      <c r="N38" s="23"/>
    </row>
    <row r="39" ht="13.9">
      <c r="A39" s="19" t="s">
        <v>58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ht="13.15">
      <c r="A40" s="26" t="s">
        <v>59</v>
      </c>
      <c r="B40" s="26" t="s">
        <v>0</v>
      </c>
      <c r="C40" s="26" t="s">
        <v>1</v>
      </c>
      <c r="D40" s="27" t="s">
        <v>60</v>
      </c>
      <c r="E40" s="26" t="s">
        <v>61</v>
      </c>
    </row>
    <row r="41" ht="13.15">
      <c r="A41" s="15">
        <v>1</v>
      </c>
      <c r="B41" s="15" t="str">
        <f ca="1">IFERROR(INDEX(A$2:A$13,MATCH(1,O$2:O$13,0)),"")</f>
        <v xml:space="preserve">Gym Membership</v>
      </c>
      <c r="C41" s="10">
        <f t="shared" ref="C41:C45" ca="1" si="4">IF(B41="","",INDEX(B$2:B$13,MATCH(B41,A$2:A$13,0)))</f>
        <v>27</v>
      </c>
      <c r="D41" s="34">
        <f t="shared" ref="D41:D45" ca="1" si="5">IF(B41="","",INDEX(D$2:D$13,MATCH(B41,A$2:A$13,0)))</f>
        <v>46144</v>
      </c>
      <c r="E41" s="35">
        <f t="shared" ref="E41:E45" ca="1" si="6">IF(D41="","",D41-TODAY())</f>
        <v>9</v>
      </c>
    </row>
    <row r="42" ht="13.15">
      <c r="A42" s="15">
        <v>2</v>
      </c>
      <c r="B42" s="15" t="str">
        <f ca="1">IFERROR(INDEX(A$2:A$13,MATCH(2,O$2:O$13,0)),"")</f>
        <v xml:space="preserve">Phone Bill (Verizon)</v>
      </c>
      <c r="C42" s="10">
        <f t="shared" ca="1" si="4"/>
        <v>65</v>
      </c>
      <c r="D42" s="34">
        <f t="shared" ca="1" si="5"/>
        <v>46144</v>
      </c>
      <c r="E42" s="35">
        <f t="shared" ca="1" si="6"/>
        <v>9</v>
      </c>
    </row>
    <row r="43" ht="13.15">
      <c r="A43" s="15">
        <v>3</v>
      </c>
      <c r="B43" s="15" t="str">
        <f ca="1">IFERROR(INDEX(A$2:A$13,MATCH(3,O$2:O$13,0)),"")</f>
        <v xml:space="preserve">Claude Subscription</v>
      </c>
      <c r="C43" s="10">
        <f t="shared" ca="1" si="4"/>
        <v>21</v>
      </c>
      <c r="D43" s="34">
        <f t="shared" ca="1" si="5"/>
        <v>46145</v>
      </c>
      <c r="E43" s="35">
        <f t="shared" ca="1" si="6"/>
        <v>10</v>
      </c>
    </row>
    <row r="44" ht="13.15">
      <c r="A44" s="15">
        <v>4</v>
      </c>
      <c r="B44" s="15" t="str">
        <f ca="1">IFERROR(INDEX(A$2:A$13,MATCH(4,O$2:O$13,0)),"")</f>
        <v>Rent</v>
      </c>
      <c r="C44" s="10">
        <f t="shared" ca="1" si="4"/>
        <v>1000</v>
      </c>
      <c r="D44" s="34">
        <f t="shared" ca="1" si="5"/>
        <v>46146</v>
      </c>
      <c r="E44" s="35">
        <f t="shared" ca="1" si="6"/>
        <v>11</v>
      </c>
    </row>
    <row r="45" ht="13.15">
      <c r="A45" s="15">
        <v>5</v>
      </c>
      <c r="B45" s="15" t="str">
        <f ca="1">IFERROR(INDEX(A$2:A$13,MATCH(5,O$2:O$13,0)),"")</f>
        <v xml:space="preserve">Car Insurance</v>
      </c>
      <c r="C45" s="10">
        <f t="shared" ca="1" si="4"/>
        <v>141.94999999999999</v>
      </c>
      <c r="D45" s="34">
        <f t="shared" ca="1" si="5"/>
        <v>46150</v>
      </c>
      <c r="E45" s="35">
        <f t="shared" ca="1" si="6"/>
        <v>15</v>
      </c>
    </row>
    <row r="46" ht="13.15">
      <c r="A46" s="33" t="s">
        <v>62</v>
      </c>
      <c r="B46" s="20">
        <f ca="1">SUMIFS(B2:B13,F2:F13,TRUE,H2:H13,TRUE)</f>
        <v>1113</v>
      </c>
      <c r="C46" t="s">
        <v>63</v>
      </c>
      <c r="D46" s="6">
        <f ca="1">COUNTIFS(F2:F13,TRUE,H2:H13,TRUE)</f>
        <v>4</v>
      </c>
      <c r="E46" t="s">
        <v>64</v>
      </c>
    </row>
    <row r="47" ht="13.15">
      <c r="A47" s="23"/>
      <c r="B47" s="23"/>
      <c r="C47" s="23"/>
      <c r="D47" s="24" t="str">
        <f t="shared" ca="1" si="1"/>
        <v/>
      </c>
      <c r="E47" s="23"/>
      <c r="F47" s="23"/>
      <c r="G47" s="25"/>
      <c r="H47" s="23"/>
      <c r="I47" s="23"/>
      <c r="J47" s="23"/>
      <c r="K47" s="23"/>
      <c r="L47" s="23"/>
      <c r="M47" s="23"/>
      <c r="N47" s="23"/>
    </row>
    <row r="48" ht="13.9">
      <c r="A48" s="19" t="s">
        <v>65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ht="13.15">
      <c r="A49" s="15" t="s">
        <v>66</v>
      </c>
      <c r="B49" s="36">
        <f>Assumptions!B10</f>
        <v>3220</v>
      </c>
      <c r="D49" s="6" t="str">
        <f t="shared" ca="1" si="1"/>
        <v/>
      </c>
    </row>
    <row r="50" ht="13.15">
      <c r="A50" s="15" t="s">
        <v>67</v>
      </c>
      <c r="B50" s="36">
        <f>B16</f>
        <v>1523.95</v>
      </c>
      <c r="D50" s="6" t="str">
        <f t="shared" ca="1" si="1"/>
        <v/>
      </c>
    </row>
    <row r="51" ht="13.15">
      <c r="A51" s="15" t="s">
        <v>68</v>
      </c>
      <c r="B51" s="36">
        <f>Assumptions!B9</f>
        <v>600</v>
      </c>
      <c r="D51" s="6" t="str">
        <f t="shared" ca="1" si="1"/>
        <v/>
      </c>
    </row>
    <row r="52" ht="13.15">
      <c r="A52" s="15" t="s">
        <v>69</v>
      </c>
      <c r="B52" s="36">
        <f>Dashboard!B33</f>
        <v>1251.1578947368421</v>
      </c>
      <c r="D52" s="6" t="str">
        <f t="shared" ca="1" si="1"/>
        <v/>
      </c>
    </row>
    <row r="53" ht="13.15">
      <c r="A53" s="15" t="s">
        <v>70</v>
      </c>
      <c r="B53" s="20">
        <f>B49-B50-B51-B52</f>
        <v>-155.10789473684213</v>
      </c>
      <c r="D53" s="6" t="str">
        <f t="shared" ca="1" si="1"/>
        <v/>
      </c>
    </row>
    <row r="54" ht="13.15">
      <c r="A54" s="15" t="s">
        <v>71</v>
      </c>
      <c r="B54" s="21">
        <f>IFERROR(B53/B49,0)</f>
        <v>-0.048170153644982026</v>
      </c>
      <c r="D54" s="6" t="str">
        <f t="shared" ca="1" si="1"/>
        <v/>
      </c>
    </row>
    <row r="55" ht="13.15">
      <c r="A55" s="15"/>
      <c r="D55" s="6" t="str">
        <f t="shared" ca="1" si="1"/>
        <v/>
      </c>
    </row>
    <row r="56" ht="13.15">
      <c r="A56" s="15" t="s">
        <v>72</v>
      </c>
      <c r="B56" s="28">
        <f>IFERROR(B25/B49,0)</f>
        <v>0.45402173913043481</v>
      </c>
      <c r="D56" s="6" t="str">
        <f t="shared" ca="1" si="1"/>
        <v/>
      </c>
    </row>
    <row r="57" ht="13.15">
      <c r="A57" s="15" t="s">
        <v>73</v>
      </c>
      <c r="B57" s="28">
        <f>IFERROR(B26/B49,0)</f>
        <v>0.019254658385093167</v>
      </c>
      <c r="D57" s="6" t="str">
        <f t="shared" ca="1" si="1"/>
        <v/>
      </c>
    </row>
    <row r="58" ht="13.15">
      <c r="A58" s="15" t="s">
        <v>74</v>
      </c>
      <c r="B58" s="28">
        <f>IFERROR(B16/(B16+Assumptions!B9),0)</f>
        <v>0.71750747428140971</v>
      </c>
      <c r="D58" s="6" t="str">
        <f t="shared" ca="1" si="1"/>
        <v/>
      </c>
    </row>
    <row r="59" ht="13.15">
      <c r="A59" s="9"/>
      <c r="B59" s="37"/>
      <c r="C59" s="38"/>
      <c r="E59" s="15" t="str">
        <f>IF(OR(D59="",C59=""),"",IF(D59&lt;=IFERROR(VLOOKUP(B59,A2:D13,4,FALSE),""),"✅ On Time","❌ Late"))</f>
        <v/>
      </c>
      <c r="F59" s="37"/>
      <c r="G59" s="39"/>
    </row>
    <row r="60" ht="13.15">
      <c r="A60" s="9"/>
      <c r="B60" s="37"/>
      <c r="C60" s="38"/>
      <c r="E60" s="15" t="str">
        <f>IF(OR(D60="",C60=""),"",IF(D60&lt;=IFERROR(VLOOKUP(B60,A2:D13,4,FALSE),""),"✅ On Time","❌ Late"))</f>
        <v/>
      </c>
      <c r="F60" s="37"/>
      <c r="G60" s="39"/>
    </row>
    <row r="61" ht="13.15">
      <c r="A61" s="9"/>
      <c r="B61" s="37"/>
      <c r="C61" s="38"/>
      <c r="E61" s="15" t="str">
        <f>IF(OR(D61="",C61=""),"",IF(D61&lt;=IFERROR(VLOOKUP(B61,A2:D13,4,FALSE),""),"✅ On Time","❌ Late"))</f>
        <v/>
      </c>
      <c r="F61" s="37"/>
      <c r="G61" s="39"/>
    </row>
    <row r="62" ht="13.15">
      <c r="A62" s="9"/>
      <c r="B62" s="37"/>
      <c r="C62" s="38"/>
      <c r="E62" s="15" t="str">
        <f>IF(OR(D62="",C62=""),"",IF(D62&lt;=IFERROR(VLOOKUP(B62,A2:D13,4,FALSE),""),"✅ On Time","❌ Late"))</f>
        <v/>
      </c>
      <c r="F62" s="37"/>
      <c r="G62" s="39"/>
    </row>
    <row r="63" ht="13.15">
      <c r="A63" s="9"/>
      <c r="B63" s="37"/>
      <c r="C63" s="38"/>
      <c r="E63" s="15" t="str">
        <f>IF(OR(D63="",C63=""),"",IF(D63&lt;=IFERROR(VLOOKUP(B63,A2:D13,4,FALSE),""),"✅ On Time","❌ Late"))</f>
        <v/>
      </c>
      <c r="F63" s="37"/>
      <c r="G63" s="39"/>
    </row>
    <row r="64" ht="13.15">
      <c r="A64" s="9"/>
      <c r="B64" s="37"/>
      <c r="C64" s="38"/>
      <c r="E64" s="15" t="str">
        <f>IF(OR(D64="",C64=""),"",IF(D64&lt;=IFERROR(VLOOKUP(B64,A2:D13,4,FALSE),""),"✅ On Time","❌ Late"))</f>
        <v/>
      </c>
      <c r="F64" s="37"/>
      <c r="G64" s="39"/>
    </row>
    <row r="65" ht="13.15">
      <c r="A65" s="9"/>
      <c r="B65" s="37"/>
      <c r="C65" s="38"/>
      <c r="E65" s="15" t="str">
        <f>IF(OR(D65="",C65=""),"",IF(D65&lt;=IFERROR(VLOOKUP(B65,A2:D13,4,FALSE),""),"✅ On Time","❌ Late"))</f>
        <v/>
      </c>
      <c r="F65" s="37"/>
      <c r="G65" s="39"/>
    </row>
    <row r="66" ht="13.15">
      <c r="A66" s="9"/>
      <c r="B66" s="37"/>
      <c r="C66" s="38"/>
      <c r="E66" s="15" t="str">
        <f>IF(OR(D66="",C66=""),"",IF(D66&lt;=IFERROR(VLOOKUP(B66,A2:D13,4,FALSE),""),"✅ On Time","❌ Late"))</f>
        <v/>
      </c>
      <c r="F66" s="37"/>
      <c r="G66" s="39"/>
    </row>
    <row r="67" ht="13.15">
      <c r="A67" s="9"/>
      <c r="B67" s="37"/>
      <c r="C67" s="38"/>
      <c r="E67" s="15" t="str">
        <f>IF(OR(D67="",C67=""),"",IF(D67&lt;=IFERROR(VLOOKUP(B67,A2:D13,4,FALSE),""),"✅ On Time","❌ Late"))</f>
        <v/>
      </c>
      <c r="F67" s="37"/>
      <c r="G67" s="39"/>
    </row>
    <row r="68" ht="13.15">
      <c r="A68" s="9"/>
      <c r="B68" s="37"/>
      <c r="C68" s="38"/>
      <c r="E68" s="15" t="str">
        <f>IF(OR(D68="",C68=""),"",IF(D68&lt;=IFERROR(VLOOKUP(B68,A2:D13,4,FALSE),""),"✅ On Time","❌ Late"))</f>
        <v/>
      </c>
      <c r="F68" s="37"/>
      <c r="G68" s="39"/>
    </row>
    <row r="69" ht="13.15">
      <c r="A69" s="9"/>
      <c r="B69" s="37"/>
      <c r="C69" s="38"/>
      <c r="E69" s="15" t="str">
        <f>IF(OR(D69="",C69=""),"",IF(D69&lt;=IFERROR(VLOOKUP(B69,A2:D13,4,FALSE),""),"✅ On Time","❌ Late"))</f>
        <v/>
      </c>
      <c r="F69" s="37"/>
      <c r="G69" s="39"/>
    </row>
    <row r="70" ht="13.15">
      <c r="A70" s="9"/>
      <c r="B70" s="37"/>
      <c r="C70" s="38"/>
      <c r="E70" s="15" t="str">
        <f>IF(OR(D70="",C70=""),"",IF(D70&lt;=IFERROR(VLOOKUP(B70,A2:D13,4,FALSE),""),"✅ On Time","❌ Late"))</f>
        <v/>
      </c>
      <c r="F70" s="37"/>
      <c r="G70" s="39"/>
    </row>
    <row r="71" ht="13.15">
      <c r="A71" s="9"/>
      <c r="B71" s="37"/>
      <c r="C71" s="38"/>
      <c r="E71" s="15" t="str">
        <f>IF(OR(D71="",C71=""),"",IF(D71&lt;=IFERROR(VLOOKUP(B71,A2:D13,4,FALSE),""),"✅ On Time","❌ Late"))</f>
        <v/>
      </c>
      <c r="F71" s="37"/>
      <c r="G71" s="39"/>
    </row>
    <row r="72" ht="13.15">
      <c r="A72" s="9"/>
      <c r="B72" s="37"/>
      <c r="C72" s="38"/>
      <c r="E72" s="15" t="str">
        <f>IF(OR(D72="",C72=""),"",IF(D72&lt;=IFERROR(VLOOKUP(B72,A2:D13,4,FALSE),""),"✅ On Time","❌ Late"))</f>
        <v/>
      </c>
      <c r="F72" s="37"/>
      <c r="G72" s="39"/>
    </row>
    <row r="73" ht="13.15">
      <c r="A73" s="9"/>
      <c r="B73" s="37"/>
      <c r="C73" s="38"/>
      <c r="E73" s="15" t="str">
        <f>IF(OR(D73="",C73=""),"",IF(D73&lt;=IFERROR(VLOOKUP(B73,A2:D13,4,FALSE),""),"✅ On Time","❌ Late"))</f>
        <v/>
      </c>
      <c r="F73" s="37"/>
      <c r="G73" s="39"/>
    </row>
    <row r="74" ht="13.15">
      <c r="A74" s="9"/>
      <c r="B74" s="37"/>
      <c r="C74" s="38"/>
      <c r="E74" s="15" t="str">
        <f>IF(OR(D74="",C74=""),"",IF(D74&lt;=IFERROR(VLOOKUP(B74,A2:D13,4,FALSE),""),"✅ On Time","❌ Late"))</f>
        <v/>
      </c>
      <c r="F74" s="37"/>
      <c r="G74" s="39"/>
    </row>
    <row r="75" ht="13.15">
      <c r="A75" s="9"/>
      <c r="B75" s="37"/>
      <c r="C75" s="38"/>
      <c r="E75" s="15" t="str">
        <f>IF(OR(D75="",C75=""),"",IF(D75&lt;=IFERROR(VLOOKUP(B75,A2:D13,4,FALSE),""),"✅ On Time","❌ Late"))</f>
        <v/>
      </c>
      <c r="F75" s="37"/>
      <c r="G75" s="39"/>
    </row>
    <row r="76" ht="13.15">
      <c r="A76" s="9"/>
      <c r="B76" s="37"/>
      <c r="C76" s="38"/>
      <c r="E76" s="15" t="str">
        <f>IF(OR(D76="",C76=""),"",IF(D76&lt;=IFERROR(VLOOKUP(B76,A2:D13,4,FALSE),""),"✅ On Time","❌ Late"))</f>
        <v/>
      </c>
      <c r="F76" s="37"/>
      <c r="G76" s="39"/>
    </row>
    <row r="77" ht="13.15">
      <c r="A77" s="9"/>
      <c r="B77" s="37"/>
      <c r="C77" s="38"/>
      <c r="E77" s="15" t="str">
        <f>IF(OR(D77="",C77=""),"",IF(D77&lt;=IFERROR(VLOOKUP(B77,A2:D13,4,FALSE),""),"✅ On Time","❌ Late"))</f>
        <v/>
      </c>
      <c r="F77" s="37"/>
      <c r="G77" s="39"/>
    </row>
    <row r="78" ht="13.15">
      <c r="A78" s="23"/>
      <c r="B78" s="23"/>
      <c r="C78" s="23"/>
      <c r="E78" s="23"/>
      <c r="F78" s="23"/>
      <c r="G78" s="25"/>
      <c r="H78" s="23"/>
      <c r="I78" s="23"/>
      <c r="J78" s="23"/>
      <c r="K78" s="23"/>
      <c r="L78" s="23"/>
      <c r="M78" s="23"/>
      <c r="N78" s="23"/>
    </row>
    <row r="79" ht="13.9">
      <c r="A79" s="19" t="s">
        <v>75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ht="13.15">
      <c r="A80" s="15" t="s">
        <v>76</v>
      </c>
      <c r="B80" s="22" cm="1">
        <f t="array" ref="B80">SUMPRODUCT((C59:C77&lt;&gt;"")*1)</f>
        <v>0</v>
      </c>
    </row>
    <row r="81" ht="13.15">
      <c r="A81" s="15" t="s">
        <v>77</v>
      </c>
      <c r="B81" s="22">
        <f>COUNTIF(E59:E77,"✅ On Time")</f>
        <v>0</v>
      </c>
    </row>
    <row r="82" ht="13.15">
      <c r="A82" s="15" t="s">
        <v>78</v>
      </c>
      <c r="B82" s="22">
        <f>COUNTIF(E59:E77,"❌ Late")</f>
        <v>0</v>
      </c>
    </row>
    <row r="83" ht="13.15">
      <c r="A83" s="15" t="s">
        <v>79</v>
      </c>
      <c r="B83" s="21">
        <f>IFERROR(B81/B80,0)</f>
        <v>0</v>
      </c>
    </row>
    <row r="84" ht="13.15">
      <c r="A84" s="15" t="s">
        <v>80</v>
      </c>
      <c r="B84" s="22">
        <f>IF(B80=0,0,B81)</f>
        <v>0</v>
      </c>
    </row>
    <row r="85" ht="13.9">
      <c r="A85" s="15" t="s">
        <v>81</v>
      </c>
      <c r="B85" s="40" t="str">
        <f>IF(B80=0,"No Data",IF(B83&gt;=0.95,"A+ — Excellent",IF(B83&gt;=0.9,"A — Great",IF(B83&gt;=0.8,"B — Good",IF(B83&gt;=0.7,"C — Fair","D — Needs Improvement")))))</f>
        <v xml:space="preserve">No Data</v>
      </c>
    </row>
    <row r="86" ht="13.15">
      <c r="A86" s="23"/>
      <c r="B86" s="23"/>
      <c r="C86" s="23"/>
      <c r="E86" s="23"/>
      <c r="F86" s="23"/>
      <c r="G86" s="25"/>
      <c r="H86" s="23"/>
      <c r="I86" s="23"/>
      <c r="J86" s="23"/>
      <c r="K86" s="23"/>
      <c r="L86" s="23"/>
      <c r="M86" s="23"/>
      <c r="N86" s="23"/>
    </row>
    <row r="87" ht="13.9">
      <c r="A87" s="19" t="s">
        <v>82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ht="13.15">
      <c r="A88" s="15" t="s">
        <v>83</v>
      </c>
      <c r="B88" s="22">
        <f>COUNTIFS(J2:J13,"Discretionary",F2:F13,TRUE)</f>
        <v>3</v>
      </c>
    </row>
    <row r="89" ht="13.15">
      <c r="A89" s="15" t="s">
        <v>84</v>
      </c>
      <c r="B89" s="10">
        <f>SUMIFS(B2:B13,J2:J13,"Discretionary",F2:F13,TRUE)</f>
        <v>62</v>
      </c>
    </row>
    <row r="90" ht="13.15">
      <c r="A90" s="15" t="s">
        <v>85</v>
      </c>
      <c r="B90" s="10">
        <f>B89*12</f>
        <v>744</v>
      </c>
    </row>
    <row r="91" ht="13.15">
      <c r="A91" s="15" t="s">
        <v>86</v>
      </c>
      <c r="B91" s="21">
        <f>IFERROR(B89/Assumptions!B10,0)</f>
        <v>0.019254658385093167</v>
      </c>
    </row>
    <row r="92" ht="13.15">
      <c r="A92" s="15"/>
    </row>
    <row r="93" ht="13.15">
      <c r="A93" s="33" t="s">
        <v>87</v>
      </c>
    </row>
    <row r="94" ht="13.15">
      <c r="A94" s="41" t="s">
        <v>88</v>
      </c>
      <c r="B94" s="41" t="s">
        <v>16</v>
      </c>
      <c r="C94" s="41" t="s">
        <v>89</v>
      </c>
    </row>
    <row r="95" ht="13.15">
      <c r="A95" s="15" t="str" cm="1">
        <f t="array" ref="A95">IFERROR(INDEX(A$2:A$13,SMALL(IF((J$2:J$13="Discretionary")*(F$2:F$13=TRUE),ROW(A$2:A$13)-1),1)),"" )</f>
        <v xml:space="preserve">Gym Membership</v>
      </c>
      <c r="B95" s="10">
        <f t="shared" ref="B95:B99" si="7">IF(A95="","",INDEX(B$2:B$13,MATCH(A95,A$2:A$13,0)))</f>
        <v>27</v>
      </c>
      <c r="C95" s="10">
        <f t="shared" ref="C95:C99" si="8">IF(B95="","",B95*12)</f>
        <v>324</v>
      </c>
    </row>
    <row r="96" ht="13.15">
      <c r="A96" s="15" t="str" cm="1">
        <f t="array" ref="A96">IFERROR(INDEX(A$2:A$13,SMALL(IF((J$2:J$13="Discretionary")*(F$2:F$13=TRUE),ROW(A$2:A$13)-1),2)),"" )</f>
        <v xml:space="preserve">Claude Subscription</v>
      </c>
      <c r="B96" s="10">
        <f t="shared" si="7"/>
        <v>21</v>
      </c>
      <c r="C96" s="10">
        <f t="shared" si="8"/>
        <v>252</v>
      </c>
    </row>
    <row r="97" ht="13.15">
      <c r="A97" s="15" t="str" cm="1">
        <f t="array" ref="A97">IFERROR(INDEX(A$2:A$13,SMALL(IF((J$2:J$13="Discretionary")*(F$2:F$13=TRUE),ROW(A$2:A$13)-1),3)),"" )</f>
        <v xml:space="preserve">YouTube Premium</v>
      </c>
      <c r="B97" s="10">
        <f t="shared" si="7"/>
        <v>14</v>
      </c>
      <c r="C97" s="10">
        <f t="shared" si="8"/>
        <v>168</v>
      </c>
    </row>
    <row r="98" ht="13.15">
      <c r="A98" s="15" t="str" cm="1">
        <f t="array" ref="A98">IFERROR(INDEX(A$2:A$13,SMALL(IF((J$2:J$13="Discretionary")*(F$2:F$13=TRUE),ROW(A$2:A$13)-1),4)),"" )</f>
        <v/>
      </c>
      <c r="B98" s="10" t="str">
        <f t="shared" si="7"/>
        <v/>
      </c>
      <c r="C98" s="10" t="str">
        <f t="shared" si="8"/>
        <v/>
      </c>
    </row>
    <row r="99" ht="13.15">
      <c r="A99" s="15" t="str" cm="1">
        <f t="array" ref="A99">IFERROR(INDEX(A$2:A$13,SMALL(IF((J$2:J$13="Discretionary")*(F$2:F$13=TRUE),ROW(A$2:A$13)-1),5)),"" )</f>
        <v/>
      </c>
      <c r="B99" s="10" t="str">
        <f t="shared" si="7"/>
        <v/>
      </c>
      <c r="C99" s="10" t="str">
        <f t="shared" si="8"/>
        <v/>
      </c>
    </row>
    <row r="100" ht="13.15">
      <c r="A100" s="23"/>
      <c r="B100" s="23"/>
      <c r="C100" s="23"/>
      <c r="E100" s="23"/>
      <c r="F100" s="23"/>
      <c r="G100" s="25"/>
      <c r="H100" s="23"/>
      <c r="I100" s="23"/>
      <c r="J100" s="23"/>
      <c r="K100" s="23"/>
      <c r="L100" s="23"/>
      <c r="M100" s="23"/>
      <c r="N100" s="23"/>
    </row>
    <row r="101" ht="13.9">
      <c r="A101" s="19" t="s">
        <v>90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ht="13.15">
      <c r="A102" s="15" t="s">
        <v>91</v>
      </c>
      <c r="B102" t="str">
        <f>IF(B20=0,"N/A",IF(B32/B20&gt;=0.8,"🟢 "&amp;TEXT(B32/B20,"0%")&amp;" on autopay",IF(B32/B20&gt;=0.5,"🟡 "&amp;TEXT(B32/B20,"0%")&amp;" on autopay","🔴 "&amp;TEXT(B32/B20,"0%")&amp;" on autopay")))</f>
        <v xml:space="preserve">🟡 78% on autopay</v>
      </c>
    </row>
    <row r="103" ht="13.15">
      <c r="A103" s="15" t="s">
        <v>92</v>
      </c>
      <c r="B103" t="str">
        <f>IF(B19&lt;0.4,"🟢 "&amp;TEXT(B19,"0.0%")&amp;" — Healthy",IF(B19&lt;0.5,"🟡 "&amp;TEXT(B19,"0.0%")&amp;" — Monitor","🔴 "&amp;TEXT(B19,"0.0%")&amp;" — High"))</f>
        <v xml:space="preserve">🟡 47.3% — Monitor</v>
      </c>
    </row>
    <row r="104" ht="13.15">
      <c r="A104" s="15" t="s">
        <v>93</v>
      </c>
      <c r="B104" t="str">
        <f>IF(B26=0,"🟢 No discretionary bills","🟢 "&amp;TEXT(B25/B26,"0.0")&amp;"x Essential-to-Discretionary")</f>
        <v xml:space="preserve">🟢 23.6x Essential-to-Discretionary</v>
      </c>
    </row>
    <row r="105" ht="13.15">
      <c r="A105" s="15" t="s">
        <v>94</v>
      </c>
      <c r="B105" t="str">
        <f>IF(B91&lt;0.03,"🟢 Low — "&amp;TEXT(B91,"0.0%")&amp;" of income",IF(B91&lt;0.05,"🟡 Moderate — "&amp;TEXT(B91,"0.0%")&amp;" of income","🔴 High — "&amp;TEXT(B91,"0.0%")&amp;" of income"))</f>
        <v xml:space="preserve">🟢 Low — 1.9% of income</v>
      </c>
    </row>
    <row r="106" ht="13.15">
      <c r="A106" s="15" t="s">
        <v>95</v>
      </c>
      <c r="B106" t="str">
        <f ca="1">B37</f>
        <v xml:space="preserve">🟢 No urgent manual bills</v>
      </c>
    </row>
    <row r="107" ht="13.15">
      <c r="A107" s="15"/>
    </row>
    <row r="108" ht="15.6">
      <c r="A108" s="42" t="s">
        <v>96</v>
      </c>
      <c r="B108" s="43" t="str">
        <f>IF(AND(B32/B20&gt;=0.5,B19&lt;0.5,B91&lt;0.05),"✅ HEALTHY",IF(OR(B19&gt;=0.5,B91&gt;=0.05),"⚠️ REVIEW NEEDED","✅ HEALTHY"))</f>
        <v xml:space="preserve">✅ HEALTHY</v>
      </c>
    </row>
    <row r="109" ht="13.15">
      <c r="D109" s="6" t="str">
        <f t="shared" ref="D67:D130" ca="1" si="9">IF(OR(C109="",F109=FALSE),"",IF(DATE(YEAR(TODAY()),MONTH(TODAY()),C109)&gt;=TODAY(),DATE(YEAR(TODAY()),MONTH(TODAY()),C109),EDATE(DATE(YEAR(TODAY()),MONTH(TODAY()),C109),1)))</f>
        <v/>
      </c>
    </row>
    <row r="110" ht="13.15">
      <c r="D110" s="6" t="str">
        <f t="shared" ca="1" si="9"/>
        <v/>
      </c>
    </row>
    <row r="111" ht="13.15">
      <c r="D111" s="6" t="str">
        <f t="shared" ca="1" si="9"/>
        <v/>
      </c>
    </row>
    <row r="112" ht="13.15">
      <c r="D112" s="6" t="str">
        <f t="shared" ca="1" si="9"/>
        <v/>
      </c>
    </row>
    <row r="113" ht="13.15">
      <c r="D113" s="6" t="str">
        <f t="shared" ca="1" si="9"/>
        <v/>
      </c>
    </row>
    <row r="114" ht="13.15">
      <c r="D114" s="6" t="str">
        <f t="shared" ca="1" si="9"/>
        <v/>
      </c>
    </row>
    <row r="115" ht="13.15">
      <c r="D115" s="6" t="str">
        <f t="shared" ca="1" si="9"/>
        <v/>
      </c>
    </row>
    <row r="116" ht="13.15">
      <c r="D116" s="6" t="str">
        <f t="shared" ca="1" si="9"/>
        <v/>
      </c>
    </row>
    <row r="117" ht="13.15">
      <c r="D117" s="6" t="str">
        <f t="shared" ca="1" si="9"/>
        <v/>
      </c>
    </row>
    <row r="118" ht="13.15">
      <c r="D118" s="6" t="str">
        <f t="shared" ca="1" si="9"/>
        <v/>
      </c>
    </row>
    <row r="119" ht="13.15">
      <c r="D119" s="6" t="str">
        <f t="shared" ca="1" si="9"/>
        <v/>
      </c>
    </row>
    <row r="120" ht="13.15">
      <c r="D120" s="6" t="str">
        <f t="shared" ca="1" si="9"/>
        <v/>
      </c>
    </row>
    <row r="121" ht="13.15">
      <c r="D121" s="6" t="str">
        <f t="shared" ca="1" si="9"/>
        <v/>
      </c>
    </row>
    <row r="122" ht="13.15">
      <c r="D122" s="6" t="str">
        <f t="shared" ca="1" si="9"/>
        <v/>
      </c>
    </row>
    <row r="123" ht="13.15">
      <c r="D123" s="6" t="str">
        <f t="shared" ca="1" si="9"/>
        <v/>
      </c>
    </row>
    <row r="124" ht="13.15">
      <c r="D124" s="6" t="str">
        <f t="shared" ca="1" si="9"/>
        <v/>
      </c>
    </row>
    <row r="125" ht="13.15">
      <c r="D125" s="6" t="str">
        <f t="shared" ca="1" si="9"/>
        <v/>
      </c>
    </row>
    <row r="126" ht="13.15">
      <c r="D126" s="6" t="str">
        <f t="shared" ca="1" si="9"/>
        <v/>
      </c>
    </row>
    <row r="127" ht="13.15">
      <c r="D127" s="6" t="str">
        <f t="shared" ca="1" si="9"/>
        <v/>
      </c>
    </row>
    <row r="128" ht="13.15">
      <c r="D128" s="6" t="str">
        <f t="shared" ca="1" si="9"/>
        <v/>
      </c>
    </row>
    <row r="129" ht="13.15">
      <c r="D129" s="6" t="str">
        <f t="shared" ca="1" si="9"/>
        <v/>
      </c>
    </row>
    <row r="130" ht="13.15">
      <c r="D130" s="6" t="str">
        <f t="shared" ca="1" si="9"/>
        <v/>
      </c>
    </row>
    <row r="131" ht="13.15">
      <c r="D131" s="6" t="str">
        <f t="shared" ref="D131:D194" ca="1" si="10">IF(OR(C131="",F131=FALSE),"",IF(DATE(YEAR(TODAY()),MONTH(TODAY()),C131)&gt;=TODAY(),DATE(YEAR(TODAY()),MONTH(TODAY()),C131),EDATE(DATE(YEAR(TODAY()),MONTH(TODAY()),C131),1)))</f>
        <v/>
      </c>
    </row>
    <row r="132" ht="13.15">
      <c r="D132" s="6" t="str">
        <f t="shared" ca="1" si="10"/>
        <v/>
      </c>
    </row>
    <row r="133" ht="13.15">
      <c r="D133" s="6" t="str">
        <f t="shared" ca="1" si="10"/>
        <v/>
      </c>
    </row>
    <row r="134" ht="13.15">
      <c r="D134" s="6" t="str">
        <f t="shared" ca="1" si="10"/>
        <v/>
      </c>
    </row>
    <row r="135" ht="13.15">
      <c r="D135" s="6" t="str">
        <f t="shared" ca="1" si="10"/>
        <v/>
      </c>
    </row>
    <row r="136" ht="13.15">
      <c r="D136" s="6" t="str">
        <f t="shared" ca="1" si="10"/>
        <v/>
      </c>
    </row>
    <row r="137" ht="13.15">
      <c r="D137" s="6" t="str">
        <f t="shared" ca="1" si="10"/>
        <v/>
      </c>
    </row>
    <row r="138" ht="13.15">
      <c r="D138" s="6" t="str">
        <f t="shared" ca="1" si="10"/>
        <v/>
      </c>
    </row>
    <row r="139" ht="13.15">
      <c r="D139" s="6" t="str">
        <f t="shared" ca="1" si="10"/>
        <v/>
      </c>
    </row>
    <row r="140" ht="13.15">
      <c r="D140" s="6" t="str">
        <f t="shared" ca="1" si="10"/>
        <v/>
      </c>
    </row>
    <row r="141" ht="13.15">
      <c r="D141" s="6" t="str">
        <f t="shared" ca="1" si="10"/>
        <v/>
      </c>
    </row>
    <row r="142" ht="13.15">
      <c r="D142" s="6" t="str">
        <f t="shared" ca="1" si="10"/>
        <v/>
      </c>
    </row>
    <row r="143" ht="13.15">
      <c r="D143" s="6" t="str">
        <f t="shared" ca="1" si="10"/>
        <v/>
      </c>
    </row>
    <row r="144" ht="13.15">
      <c r="D144" s="6" t="str">
        <f t="shared" ca="1" si="10"/>
        <v/>
      </c>
    </row>
    <row r="145" ht="13.15">
      <c r="D145" s="6" t="str">
        <f t="shared" ca="1" si="10"/>
        <v/>
      </c>
    </row>
    <row r="146" ht="13.15">
      <c r="D146" s="6" t="str">
        <f t="shared" ca="1" si="10"/>
        <v/>
      </c>
    </row>
    <row r="147" ht="13.15">
      <c r="D147" s="6" t="str">
        <f t="shared" ca="1" si="10"/>
        <v/>
      </c>
    </row>
    <row r="148" ht="13.15">
      <c r="D148" s="6" t="str">
        <f t="shared" ca="1" si="10"/>
        <v/>
      </c>
    </row>
    <row r="149" ht="13.15">
      <c r="D149" s="6" t="str">
        <f t="shared" ca="1" si="10"/>
        <v/>
      </c>
    </row>
    <row r="150" ht="13.15">
      <c r="D150" s="6" t="str">
        <f t="shared" ca="1" si="10"/>
        <v/>
      </c>
    </row>
    <row r="151" ht="13.15">
      <c r="D151" s="6" t="str">
        <f t="shared" ca="1" si="10"/>
        <v/>
      </c>
    </row>
    <row r="152" ht="13.15">
      <c r="D152" s="6" t="str">
        <f t="shared" ca="1" si="10"/>
        <v/>
      </c>
    </row>
    <row r="153" ht="13.15">
      <c r="D153" s="6" t="str">
        <f t="shared" ca="1" si="10"/>
        <v/>
      </c>
    </row>
    <row r="154" ht="13.15">
      <c r="D154" s="6" t="str">
        <f t="shared" ca="1" si="10"/>
        <v/>
      </c>
    </row>
    <row r="155" ht="13.15">
      <c r="D155" s="6" t="str">
        <f t="shared" ca="1" si="10"/>
        <v/>
      </c>
    </row>
    <row r="156" ht="13.15">
      <c r="D156" s="6" t="str">
        <f t="shared" ca="1" si="10"/>
        <v/>
      </c>
    </row>
    <row r="157" ht="13.15">
      <c r="D157" s="6" t="str">
        <f t="shared" ca="1" si="10"/>
        <v/>
      </c>
    </row>
    <row r="158" ht="13.15">
      <c r="D158" s="6" t="str">
        <f t="shared" ca="1" si="10"/>
        <v/>
      </c>
    </row>
    <row r="159" ht="13.15">
      <c r="D159" s="6" t="str">
        <f t="shared" ca="1" si="10"/>
        <v/>
      </c>
    </row>
    <row r="160" ht="13.15">
      <c r="D160" s="6" t="str">
        <f t="shared" ca="1" si="10"/>
        <v/>
      </c>
    </row>
    <row r="161" ht="13.15">
      <c r="D161" s="6" t="str">
        <f t="shared" ca="1" si="10"/>
        <v/>
      </c>
    </row>
    <row r="162" ht="13.15">
      <c r="D162" s="6" t="str">
        <f t="shared" ca="1" si="10"/>
        <v/>
      </c>
    </row>
    <row r="163" ht="13.15">
      <c r="D163" s="6" t="str">
        <f t="shared" ca="1" si="10"/>
        <v/>
      </c>
    </row>
    <row r="164" ht="13.15">
      <c r="D164" s="6" t="str">
        <f t="shared" ca="1" si="10"/>
        <v/>
      </c>
    </row>
    <row r="165" ht="13.15">
      <c r="D165" s="6" t="str">
        <f t="shared" ca="1" si="10"/>
        <v/>
      </c>
    </row>
    <row r="166" ht="13.15">
      <c r="D166" s="6" t="str">
        <f t="shared" ca="1" si="10"/>
        <v/>
      </c>
    </row>
    <row r="167" ht="13.15">
      <c r="D167" s="6" t="str">
        <f t="shared" ca="1" si="10"/>
        <v/>
      </c>
    </row>
    <row r="168" ht="13.15">
      <c r="D168" s="6" t="str">
        <f t="shared" ca="1" si="10"/>
        <v/>
      </c>
    </row>
    <row r="169" ht="13.15">
      <c r="D169" s="6" t="str">
        <f t="shared" ca="1" si="10"/>
        <v/>
      </c>
    </row>
    <row r="170" ht="13.15">
      <c r="D170" s="6" t="str">
        <f t="shared" ca="1" si="10"/>
        <v/>
      </c>
    </row>
    <row r="171" ht="13.15">
      <c r="D171" s="6" t="str">
        <f t="shared" ca="1" si="10"/>
        <v/>
      </c>
    </row>
    <row r="172" ht="13.15">
      <c r="D172" s="6" t="str">
        <f t="shared" ca="1" si="10"/>
        <v/>
      </c>
    </row>
    <row r="173" ht="13.15">
      <c r="D173" s="6" t="str">
        <f t="shared" ca="1" si="10"/>
        <v/>
      </c>
    </row>
    <row r="174" ht="13.15">
      <c r="D174" s="6" t="str">
        <f t="shared" ca="1" si="10"/>
        <v/>
      </c>
    </row>
    <row r="175" ht="13.15">
      <c r="D175" s="6" t="str">
        <f t="shared" ca="1" si="10"/>
        <v/>
      </c>
    </row>
    <row r="176" ht="13.15">
      <c r="D176" s="6" t="str">
        <f t="shared" ca="1" si="10"/>
        <v/>
      </c>
    </row>
    <row r="177" ht="13.15">
      <c r="D177" s="6" t="str">
        <f t="shared" ca="1" si="10"/>
        <v/>
      </c>
    </row>
    <row r="178" ht="13.15">
      <c r="D178" s="6" t="str">
        <f t="shared" ca="1" si="10"/>
        <v/>
      </c>
    </row>
    <row r="179" ht="13.15">
      <c r="D179" s="6" t="str">
        <f t="shared" ca="1" si="10"/>
        <v/>
      </c>
    </row>
    <row r="180" ht="13.15">
      <c r="D180" s="6" t="str">
        <f t="shared" ca="1" si="10"/>
        <v/>
      </c>
    </row>
    <row r="181" ht="13.15">
      <c r="D181" s="6" t="str">
        <f t="shared" ca="1" si="10"/>
        <v/>
      </c>
    </row>
    <row r="182" ht="13.15">
      <c r="D182" s="6" t="str">
        <f t="shared" ca="1" si="10"/>
        <v/>
      </c>
    </row>
    <row r="183" ht="13.15">
      <c r="D183" s="6" t="str">
        <f t="shared" ca="1" si="10"/>
        <v/>
      </c>
    </row>
    <row r="184" ht="13.15">
      <c r="D184" s="6" t="str">
        <f t="shared" ca="1" si="10"/>
        <v/>
      </c>
    </row>
    <row r="185" ht="13.15">
      <c r="D185" s="6" t="str">
        <f t="shared" ca="1" si="10"/>
        <v/>
      </c>
    </row>
    <row r="186" ht="13.15">
      <c r="D186" s="6" t="str">
        <f t="shared" ca="1" si="10"/>
        <v/>
      </c>
    </row>
    <row r="187" ht="13.15">
      <c r="D187" s="6" t="str">
        <f t="shared" ca="1" si="10"/>
        <v/>
      </c>
    </row>
    <row r="188" ht="13.15">
      <c r="D188" s="6" t="str">
        <f t="shared" ca="1" si="10"/>
        <v/>
      </c>
    </row>
    <row r="189" ht="13.15">
      <c r="D189" s="6" t="str">
        <f t="shared" ca="1" si="10"/>
        <v/>
      </c>
    </row>
    <row r="190" ht="13.15">
      <c r="D190" s="6" t="str">
        <f t="shared" ca="1" si="10"/>
        <v/>
      </c>
    </row>
    <row r="191" ht="13.15">
      <c r="D191" s="6" t="str">
        <f t="shared" ca="1" si="10"/>
        <v/>
      </c>
    </row>
    <row r="192" ht="13.15">
      <c r="D192" s="6" t="str">
        <f t="shared" ca="1" si="10"/>
        <v/>
      </c>
    </row>
    <row r="193" ht="13.15">
      <c r="D193" s="6" t="str">
        <f t="shared" ca="1" si="10"/>
        <v/>
      </c>
    </row>
    <row r="194" ht="13.15">
      <c r="D194" s="6" t="str">
        <f t="shared" ca="1" si="10"/>
        <v/>
      </c>
    </row>
    <row r="195" ht="13.15">
      <c r="D195" s="6" t="str">
        <f t="shared" ref="D195:D258" ca="1" si="11">IF(OR(C195="",F195=FALSE),"",IF(DATE(YEAR(TODAY()),MONTH(TODAY()),C195)&gt;=TODAY(),DATE(YEAR(TODAY()),MONTH(TODAY()),C195),EDATE(DATE(YEAR(TODAY()),MONTH(TODAY()),C195),1)))</f>
        <v/>
      </c>
    </row>
    <row r="196" ht="13.15">
      <c r="D196" s="6" t="str">
        <f t="shared" ca="1" si="11"/>
        <v/>
      </c>
    </row>
    <row r="197" ht="13.15">
      <c r="D197" s="6" t="str">
        <f t="shared" ca="1" si="11"/>
        <v/>
      </c>
    </row>
    <row r="198" ht="13.15">
      <c r="D198" s="6" t="str">
        <f t="shared" ca="1" si="11"/>
        <v/>
      </c>
    </row>
    <row r="199" ht="13.15">
      <c r="D199" s="6" t="str">
        <f t="shared" ca="1" si="11"/>
        <v/>
      </c>
    </row>
    <row r="200" ht="13.15">
      <c r="D200" s="6" t="str">
        <f t="shared" ca="1" si="11"/>
        <v/>
      </c>
    </row>
    <row r="201" ht="13.15">
      <c r="D201" s="6" t="str">
        <f t="shared" ca="1" si="11"/>
        <v/>
      </c>
    </row>
    <row r="202" ht="13.15">
      <c r="D202" s="6" t="str">
        <f t="shared" ca="1" si="11"/>
        <v/>
      </c>
    </row>
    <row r="203" ht="13.15">
      <c r="D203" s="6" t="str">
        <f t="shared" ca="1" si="11"/>
        <v/>
      </c>
    </row>
    <row r="204" ht="13.15">
      <c r="D204" s="6" t="str">
        <f t="shared" ca="1" si="11"/>
        <v/>
      </c>
    </row>
    <row r="205" ht="13.15">
      <c r="D205" s="6" t="str">
        <f t="shared" ca="1" si="11"/>
        <v/>
      </c>
    </row>
    <row r="206" ht="13.15">
      <c r="D206" s="6" t="str">
        <f t="shared" ca="1" si="11"/>
        <v/>
      </c>
    </row>
    <row r="207" ht="13.15">
      <c r="D207" s="6" t="str">
        <f t="shared" ca="1" si="11"/>
        <v/>
      </c>
    </row>
    <row r="208" ht="13.15">
      <c r="D208" s="6" t="str">
        <f t="shared" ca="1" si="11"/>
        <v/>
      </c>
    </row>
    <row r="209" ht="13.15">
      <c r="D209" s="6" t="str">
        <f t="shared" ca="1" si="11"/>
        <v/>
      </c>
    </row>
    <row r="210" ht="13.15">
      <c r="D210" s="6" t="str">
        <f t="shared" ca="1" si="11"/>
        <v/>
      </c>
    </row>
    <row r="211" ht="13.15">
      <c r="D211" s="6" t="str">
        <f t="shared" ca="1" si="11"/>
        <v/>
      </c>
    </row>
    <row r="212" ht="13.15">
      <c r="D212" s="6" t="str">
        <f t="shared" ca="1" si="11"/>
        <v/>
      </c>
    </row>
    <row r="213" ht="13.15">
      <c r="D213" s="6" t="str">
        <f t="shared" ca="1" si="11"/>
        <v/>
      </c>
    </row>
    <row r="214" ht="13.15">
      <c r="D214" s="6" t="str">
        <f t="shared" ca="1" si="11"/>
        <v/>
      </c>
    </row>
    <row r="215" ht="13.15">
      <c r="D215" s="6" t="str">
        <f t="shared" ca="1" si="11"/>
        <v/>
      </c>
    </row>
    <row r="216" ht="13.15">
      <c r="D216" s="6" t="str">
        <f t="shared" ca="1" si="11"/>
        <v/>
      </c>
    </row>
    <row r="217" ht="13.15">
      <c r="D217" s="6" t="str">
        <f t="shared" ca="1" si="11"/>
        <v/>
      </c>
    </row>
    <row r="218" ht="13.15">
      <c r="D218" s="6" t="str">
        <f t="shared" ca="1" si="11"/>
        <v/>
      </c>
    </row>
    <row r="219" ht="13.15">
      <c r="D219" s="6" t="str">
        <f t="shared" ca="1" si="11"/>
        <v/>
      </c>
    </row>
    <row r="220" ht="13.15">
      <c r="D220" s="6" t="str">
        <f t="shared" ca="1" si="11"/>
        <v/>
      </c>
    </row>
    <row r="221" ht="13.15">
      <c r="D221" s="6" t="str">
        <f t="shared" ca="1" si="11"/>
        <v/>
      </c>
    </row>
    <row r="222" ht="13.15">
      <c r="D222" s="6" t="str">
        <f t="shared" ca="1" si="11"/>
        <v/>
      </c>
    </row>
    <row r="223" ht="13.15">
      <c r="D223" s="6" t="str">
        <f t="shared" ca="1" si="11"/>
        <v/>
      </c>
    </row>
    <row r="224" ht="13.15">
      <c r="D224" s="6" t="str">
        <f t="shared" ca="1" si="11"/>
        <v/>
      </c>
    </row>
    <row r="225" ht="13.15">
      <c r="D225" s="6" t="str">
        <f t="shared" ca="1" si="11"/>
        <v/>
      </c>
    </row>
    <row r="226" ht="13.15">
      <c r="D226" s="6" t="str">
        <f t="shared" ca="1" si="11"/>
        <v/>
      </c>
    </row>
    <row r="227" ht="13.15">
      <c r="D227" s="6" t="str">
        <f t="shared" ca="1" si="11"/>
        <v/>
      </c>
    </row>
    <row r="228" ht="13.15">
      <c r="D228" s="6" t="str">
        <f t="shared" ca="1" si="11"/>
        <v/>
      </c>
    </row>
    <row r="229" ht="13.15">
      <c r="D229" s="6" t="str">
        <f t="shared" ca="1" si="11"/>
        <v/>
      </c>
    </row>
    <row r="230" ht="13.15">
      <c r="D230" s="6" t="str">
        <f t="shared" ca="1" si="11"/>
        <v/>
      </c>
    </row>
    <row r="231" ht="13.15">
      <c r="D231" s="6" t="str">
        <f t="shared" ca="1" si="11"/>
        <v/>
      </c>
    </row>
    <row r="232" ht="13.15">
      <c r="D232" s="6" t="str">
        <f t="shared" ca="1" si="11"/>
        <v/>
      </c>
    </row>
    <row r="233" ht="13.15">
      <c r="D233" s="6" t="str">
        <f t="shared" ca="1" si="11"/>
        <v/>
      </c>
    </row>
    <row r="234" ht="13.15">
      <c r="D234" s="6" t="str">
        <f t="shared" ca="1" si="11"/>
        <v/>
      </c>
    </row>
    <row r="235" ht="13.15">
      <c r="D235" s="6" t="str">
        <f t="shared" ca="1" si="11"/>
        <v/>
      </c>
    </row>
    <row r="236" ht="13.15">
      <c r="D236" s="6" t="str">
        <f t="shared" ca="1" si="11"/>
        <v/>
      </c>
    </row>
    <row r="237" ht="13.15">
      <c r="D237" s="6" t="str">
        <f t="shared" ca="1" si="11"/>
        <v/>
      </c>
    </row>
    <row r="238" ht="13.15">
      <c r="D238" s="6" t="str">
        <f t="shared" ca="1" si="11"/>
        <v/>
      </c>
    </row>
    <row r="239" ht="13.15">
      <c r="D239" s="6" t="str">
        <f t="shared" ca="1" si="11"/>
        <v/>
      </c>
    </row>
    <row r="240" ht="13.15">
      <c r="D240" s="6" t="str">
        <f t="shared" ca="1" si="11"/>
        <v/>
      </c>
    </row>
    <row r="241" ht="13.15">
      <c r="D241" s="6" t="str">
        <f t="shared" ca="1" si="11"/>
        <v/>
      </c>
    </row>
    <row r="242" ht="13.15">
      <c r="D242" s="6" t="str">
        <f t="shared" ca="1" si="11"/>
        <v/>
      </c>
    </row>
    <row r="243" ht="13.15">
      <c r="D243" s="6" t="str">
        <f t="shared" ca="1" si="11"/>
        <v/>
      </c>
    </row>
    <row r="244" ht="13.15">
      <c r="D244" s="6" t="str">
        <f t="shared" ca="1" si="11"/>
        <v/>
      </c>
    </row>
    <row r="245" ht="13.15">
      <c r="D245" s="6" t="str">
        <f t="shared" ca="1" si="11"/>
        <v/>
      </c>
    </row>
    <row r="246" ht="13.15">
      <c r="D246" s="6" t="str">
        <f t="shared" ca="1" si="11"/>
        <v/>
      </c>
    </row>
    <row r="247" ht="13.15">
      <c r="D247" s="6" t="str">
        <f t="shared" ca="1" si="11"/>
        <v/>
      </c>
    </row>
    <row r="248" ht="13.15">
      <c r="D248" s="6" t="str">
        <f t="shared" ca="1" si="11"/>
        <v/>
      </c>
    </row>
    <row r="249" ht="13.15">
      <c r="D249" s="6" t="str">
        <f t="shared" ca="1" si="11"/>
        <v/>
      </c>
    </row>
    <row r="250" ht="13.15">
      <c r="D250" s="6" t="str">
        <f t="shared" ca="1" si="11"/>
        <v/>
      </c>
    </row>
    <row r="251" ht="13.15">
      <c r="D251" s="6" t="str">
        <f t="shared" ca="1" si="11"/>
        <v/>
      </c>
    </row>
    <row r="252" ht="13.15">
      <c r="D252" s="6" t="str">
        <f t="shared" ca="1" si="11"/>
        <v/>
      </c>
    </row>
    <row r="253" ht="13.15">
      <c r="D253" s="6" t="str">
        <f t="shared" ca="1" si="11"/>
        <v/>
      </c>
    </row>
    <row r="254" ht="13.15">
      <c r="D254" s="6" t="str">
        <f t="shared" ca="1" si="11"/>
        <v/>
      </c>
    </row>
    <row r="255" ht="13.15">
      <c r="D255" s="6" t="str">
        <f t="shared" ca="1" si="11"/>
        <v/>
      </c>
    </row>
    <row r="256" ht="13.15">
      <c r="D256" s="6" t="str">
        <f t="shared" ca="1" si="11"/>
        <v/>
      </c>
    </row>
    <row r="257" ht="13.15">
      <c r="D257" s="6" t="str">
        <f t="shared" ca="1" si="11"/>
        <v/>
      </c>
    </row>
    <row r="258" ht="13.15">
      <c r="D258" s="6" t="str">
        <f t="shared" ca="1" si="11"/>
        <v/>
      </c>
    </row>
    <row r="259" ht="13.15">
      <c r="D259" s="6" t="str">
        <f t="shared" ref="D259:D322" ca="1" si="12">IF(OR(C259="",F259=FALSE),"",IF(DATE(YEAR(TODAY()),MONTH(TODAY()),C259)&gt;=TODAY(),DATE(YEAR(TODAY()),MONTH(TODAY()),C259),EDATE(DATE(YEAR(TODAY()),MONTH(TODAY()),C259),1)))</f>
        <v/>
      </c>
    </row>
    <row r="260" ht="13.15">
      <c r="D260" s="6" t="str">
        <f t="shared" ca="1" si="12"/>
        <v/>
      </c>
    </row>
    <row r="261" ht="13.15">
      <c r="D261" s="6" t="str">
        <f t="shared" ca="1" si="12"/>
        <v/>
      </c>
    </row>
    <row r="262" ht="13.15">
      <c r="D262" s="6" t="str">
        <f t="shared" ca="1" si="12"/>
        <v/>
      </c>
    </row>
    <row r="263" ht="13.15">
      <c r="D263" s="6" t="str">
        <f t="shared" ca="1" si="12"/>
        <v/>
      </c>
    </row>
    <row r="264" ht="13.15">
      <c r="D264" s="6" t="str">
        <f t="shared" ca="1" si="12"/>
        <v/>
      </c>
    </row>
    <row r="265" ht="13.15">
      <c r="D265" s="6" t="str">
        <f t="shared" ca="1" si="12"/>
        <v/>
      </c>
    </row>
    <row r="266" ht="13.15">
      <c r="D266" s="6" t="str">
        <f t="shared" ca="1" si="12"/>
        <v/>
      </c>
    </row>
    <row r="267" ht="13.15">
      <c r="D267" s="6" t="str">
        <f t="shared" ca="1" si="12"/>
        <v/>
      </c>
    </row>
    <row r="268" ht="13.15">
      <c r="D268" s="6" t="str">
        <f t="shared" ca="1" si="12"/>
        <v/>
      </c>
    </row>
    <row r="269" ht="13.15">
      <c r="D269" s="6" t="str">
        <f t="shared" ca="1" si="12"/>
        <v/>
      </c>
    </row>
    <row r="270" ht="13.15">
      <c r="D270" s="6" t="str">
        <f t="shared" ca="1" si="12"/>
        <v/>
      </c>
    </row>
    <row r="271" ht="13.15">
      <c r="D271" s="6" t="str">
        <f t="shared" ca="1" si="12"/>
        <v/>
      </c>
    </row>
    <row r="272" ht="13.15">
      <c r="D272" s="6" t="str">
        <f t="shared" ca="1" si="12"/>
        <v/>
      </c>
    </row>
    <row r="273" ht="13.15">
      <c r="D273" s="6" t="str">
        <f t="shared" ca="1" si="12"/>
        <v/>
      </c>
    </row>
    <row r="274" ht="13.15">
      <c r="D274" s="6" t="str">
        <f t="shared" ca="1" si="12"/>
        <v/>
      </c>
    </row>
    <row r="275" ht="13.15">
      <c r="D275" s="6" t="str">
        <f t="shared" ca="1" si="12"/>
        <v/>
      </c>
    </row>
    <row r="276" ht="13.15">
      <c r="D276" s="6" t="str">
        <f t="shared" ca="1" si="12"/>
        <v/>
      </c>
    </row>
    <row r="277" ht="13.15">
      <c r="D277" s="6" t="str">
        <f t="shared" ca="1" si="12"/>
        <v/>
      </c>
    </row>
    <row r="278" ht="13.15">
      <c r="D278" s="6" t="str">
        <f t="shared" ca="1" si="12"/>
        <v/>
      </c>
    </row>
    <row r="279" ht="13.15">
      <c r="D279" s="6" t="str">
        <f t="shared" ca="1" si="12"/>
        <v/>
      </c>
    </row>
    <row r="280" ht="13.15">
      <c r="D280" s="6" t="str">
        <f t="shared" ca="1" si="12"/>
        <v/>
      </c>
    </row>
    <row r="281" ht="13.15">
      <c r="D281" s="6" t="str">
        <f t="shared" ca="1" si="12"/>
        <v/>
      </c>
    </row>
    <row r="282" ht="13.15">
      <c r="D282" s="6" t="str">
        <f t="shared" ca="1" si="12"/>
        <v/>
      </c>
    </row>
    <row r="283" ht="13.15">
      <c r="D283" s="6" t="str">
        <f t="shared" ca="1" si="12"/>
        <v/>
      </c>
    </row>
    <row r="284" ht="13.15">
      <c r="D284" s="6" t="str">
        <f t="shared" ca="1" si="12"/>
        <v/>
      </c>
    </row>
    <row r="285" ht="13.15">
      <c r="D285" s="6" t="str">
        <f t="shared" ca="1" si="12"/>
        <v/>
      </c>
    </row>
    <row r="286" ht="13.15">
      <c r="D286" s="6" t="str">
        <f t="shared" ca="1" si="12"/>
        <v/>
      </c>
    </row>
    <row r="287" ht="13.15">
      <c r="D287" s="6" t="str">
        <f t="shared" ca="1" si="12"/>
        <v/>
      </c>
    </row>
    <row r="288" ht="13.15">
      <c r="D288" s="6" t="str">
        <f t="shared" ca="1" si="12"/>
        <v/>
      </c>
    </row>
    <row r="289" ht="13.15">
      <c r="D289" s="6" t="str">
        <f t="shared" ca="1" si="12"/>
        <v/>
      </c>
    </row>
    <row r="290" ht="13.15">
      <c r="D290" s="6" t="str">
        <f t="shared" ca="1" si="12"/>
        <v/>
      </c>
    </row>
    <row r="291" ht="13.15">
      <c r="D291" s="6" t="str">
        <f t="shared" ca="1" si="12"/>
        <v/>
      </c>
    </row>
    <row r="292" ht="13.15">
      <c r="D292" s="6" t="str">
        <f t="shared" ca="1" si="12"/>
        <v/>
      </c>
    </row>
    <row r="293" ht="13.15">
      <c r="D293" s="6" t="str">
        <f t="shared" ca="1" si="12"/>
        <v/>
      </c>
    </row>
    <row r="294" ht="13.15">
      <c r="D294" s="6" t="str">
        <f t="shared" ca="1" si="12"/>
        <v/>
      </c>
    </row>
    <row r="295" ht="13.15">
      <c r="D295" s="6" t="str">
        <f t="shared" ca="1" si="12"/>
        <v/>
      </c>
    </row>
    <row r="296" ht="13.15">
      <c r="D296" s="6" t="str">
        <f t="shared" ca="1" si="12"/>
        <v/>
      </c>
    </row>
    <row r="297" ht="13.15">
      <c r="D297" s="6" t="str">
        <f t="shared" ca="1" si="12"/>
        <v/>
      </c>
    </row>
    <row r="298" ht="13.15">
      <c r="D298" s="6" t="str">
        <f t="shared" ca="1" si="12"/>
        <v/>
      </c>
    </row>
    <row r="299" ht="13.15">
      <c r="D299" s="6" t="str">
        <f t="shared" ca="1" si="12"/>
        <v/>
      </c>
    </row>
    <row r="300" ht="13.15">
      <c r="D300" s="6" t="str">
        <f t="shared" ca="1" si="12"/>
        <v/>
      </c>
    </row>
    <row r="301" ht="13.15">
      <c r="D301" s="6" t="str">
        <f t="shared" ca="1" si="12"/>
        <v/>
      </c>
    </row>
    <row r="302" ht="13.15">
      <c r="D302" s="6" t="str">
        <f t="shared" ca="1" si="12"/>
        <v/>
      </c>
    </row>
    <row r="303" ht="13.15">
      <c r="D303" s="6" t="str">
        <f t="shared" ca="1" si="12"/>
        <v/>
      </c>
    </row>
    <row r="304" ht="13.15">
      <c r="D304" s="6" t="str">
        <f t="shared" ca="1" si="12"/>
        <v/>
      </c>
    </row>
    <row r="305" ht="13.15">
      <c r="D305" s="6" t="str">
        <f t="shared" ca="1" si="12"/>
        <v/>
      </c>
    </row>
    <row r="306" ht="13.15">
      <c r="D306" s="6" t="str">
        <f t="shared" ca="1" si="12"/>
        <v/>
      </c>
    </row>
    <row r="307" ht="13.15">
      <c r="D307" s="6" t="str">
        <f t="shared" ca="1" si="12"/>
        <v/>
      </c>
    </row>
    <row r="308" ht="13.15">
      <c r="D308" s="6" t="str">
        <f t="shared" ca="1" si="12"/>
        <v/>
      </c>
    </row>
    <row r="309" ht="13.15">
      <c r="D309" s="6" t="str">
        <f t="shared" ca="1" si="12"/>
        <v/>
      </c>
    </row>
    <row r="310" ht="13.15">
      <c r="D310" s="6" t="str">
        <f t="shared" ca="1" si="12"/>
        <v/>
      </c>
    </row>
    <row r="311" ht="13.15">
      <c r="D311" s="6" t="str">
        <f t="shared" ca="1" si="12"/>
        <v/>
      </c>
    </row>
    <row r="312" ht="13.15">
      <c r="D312" s="6" t="str">
        <f t="shared" ca="1" si="12"/>
        <v/>
      </c>
    </row>
    <row r="313" ht="13.15">
      <c r="D313" s="6" t="str">
        <f t="shared" ca="1" si="12"/>
        <v/>
      </c>
    </row>
    <row r="314" ht="13.15">
      <c r="D314" s="6" t="str">
        <f t="shared" ca="1" si="12"/>
        <v/>
      </c>
    </row>
    <row r="315" ht="13.15">
      <c r="D315" s="6" t="str">
        <f t="shared" ca="1" si="12"/>
        <v/>
      </c>
    </row>
    <row r="316" ht="13.15">
      <c r="D316" s="6" t="str">
        <f t="shared" ca="1" si="12"/>
        <v/>
      </c>
    </row>
    <row r="317" ht="13.15">
      <c r="D317" s="6" t="str">
        <f t="shared" ca="1" si="12"/>
        <v/>
      </c>
    </row>
    <row r="318" ht="13.15">
      <c r="D318" s="6" t="str">
        <f t="shared" ca="1" si="12"/>
        <v/>
      </c>
    </row>
    <row r="319" ht="13.15">
      <c r="D319" s="6" t="str">
        <f t="shared" ca="1" si="12"/>
        <v/>
      </c>
    </row>
    <row r="320" ht="13.15">
      <c r="D320" s="6" t="str">
        <f t="shared" ca="1" si="12"/>
        <v/>
      </c>
    </row>
    <row r="321" ht="13.15">
      <c r="D321" s="6" t="str">
        <f t="shared" ca="1" si="12"/>
        <v/>
      </c>
    </row>
    <row r="322" ht="13.15">
      <c r="D322" s="6" t="str">
        <f t="shared" ca="1" si="12"/>
        <v/>
      </c>
    </row>
    <row r="323" ht="13.15">
      <c r="D323" s="6" t="str">
        <f t="shared" ref="D323:D386" ca="1" si="13">IF(OR(C323="",F323=FALSE),"",IF(DATE(YEAR(TODAY()),MONTH(TODAY()),C323)&gt;=TODAY(),DATE(YEAR(TODAY()),MONTH(TODAY()),C323),EDATE(DATE(YEAR(TODAY()),MONTH(TODAY()),C323),1)))</f>
        <v/>
      </c>
    </row>
    <row r="324" ht="13.15">
      <c r="D324" s="6" t="str">
        <f t="shared" ca="1" si="13"/>
        <v/>
      </c>
    </row>
    <row r="325" ht="13.15">
      <c r="D325" s="6" t="str">
        <f t="shared" ca="1" si="13"/>
        <v/>
      </c>
    </row>
    <row r="326" ht="13.15">
      <c r="D326" s="6" t="str">
        <f t="shared" ca="1" si="13"/>
        <v/>
      </c>
    </row>
    <row r="327" ht="13.15">
      <c r="D327" s="6" t="str">
        <f t="shared" ca="1" si="13"/>
        <v/>
      </c>
    </row>
    <row r="328" ht="13.15">
      <c r="D328" s="6" t="str">
        <f t="shared" ca="1" si="13"/>
        <v/>
      </c>
    </row>
    <row r="329" ht="13.15">
      <c r="D329" s="6" t="str">
        <f t="shared" ca="1" si="13"/>
        <v/>
      </c>
    </row>
    <row r="330" ht="13.15">
      <c r="D330" s="6" t="str">
        <f t="shared" ca="1" si="13"/>
        <v/>
      </c>
    </row>
    <row r="331" ht="13.15">
      <c r="D331" s="6" t="str">
        <f t="shared" ca="1" si="13"/>
        <v/>
      </c>
    </row>
    <row r="332" ht="13.15">
      <c r="D332" s="6" t="str">
        <f t="shared" ca="1" si="13"/>
        <v/>
      </c>
    </row>
    <row r="333" ht="13.15">
      <c r="D333" s="6" t="str">
        <f t="shared" ca="1" si="13"/>
        <v/>
      </c>
    </row>
    <row r="334" ht="13.15">
      <c r="D334" s="6" t="str">
        <f t="shared" ca="1" si="13"/>
        <v/>
      </c>
    </row>
    <row r="335" ht="13.15">
      <c r="D335" s="6" t="str">
        <f t="shared" ca="1" si="13"/>
        <v/>
      </c>
    </row>
    <row r="336" ht="13.15">
      <c r="D336" s="6" t="str">
        <f t="shared" ca="1" si="13"/>
        <v/>
      </c>
    </row>
    <row r="337" ht="13.15">
      <c r="D337" s="6" t="str">
        <f t="shared" ca="1" si="13"/>
        <v/>
      </c>
    </row>
    <row r="338" ht="13.15">
      <c r="D338" s="6" t="str">
        <f t="shared" ca="1" si="13"/>
        <v/>
      </c>
    </row>
    <row r="339" ht="13.15">
      <c r="D339" s="6" t="str">
        <f t="shared" ca="1" si="13"/>
        <v/>
      </c>
    </row>
    <row r="340" ht="13.15">
      <c r="D340" s="6" t="str">
        <f t="shared" ca="1" si="13"/>
        <v/>
      </c>
    </row>
    <row r="341" ht="13.15">
      <c r="D341" s="6" t="str">
        <f t="shared" ca="1" si="13"/>
        <v/>
      </c>
    </row>
    <row r="342" ht="13.15">
      <c r="D342" s="6" t="str">
        <f t="shared" ca="1" si="13"/>
        <v/>
      </c>
    </row>
    <row r="343" ht="13.15">
      <c r="D343" s="6" t="str">
        <f t="shared" ca="1" si="13"/>
        <v/>
      </c>
    </row>
    <row r="344" ht="13.15">
      <c r="D344" s="6" t="str">
        <f t="shared" ca="1" si="13"/>
        <v/>
      </c>
    </row>
    <row r="345" ht="13.15">
      <c r="D345" s="6" t="str">
        <f t="shared" ca="1" si="13"/>
        <v/>
      </c>
    </row>
    <row r="346" ht="13.15">
      <c r="D346" s="6" t="str">
        <f t="shared" ca="1" si="13"/>
        <v/>
      </c>
    </row>
    <row r="347" ht="13.15">
      <c r="D347" s="6" t="str">
        <f t="shared" ca="1" si="13"/>
        <v/>
      </c>
    </row>
    <row r="348" ht="13.15">
      <c r="D348" s="6" t="str">
        <f t="shared" ca="1" si="13"/>
        <v/>
      </c>
    </row>
    <row r="349" ht="13.15">
      <c r="D349" s="6" t="str">
        <f t="shared" ca="1" si="13"/>
        <v/>
      </c>
    </row>
    <row r="350" ht="13.15">
      <c r="D350" s="6" t="str">
        <f t="shared" ca="1" si="13"/>
        <v/>
      </c>
    </row>
    <row r="351" ht="13.15">
      <c r="D351" s="6" t="str">
        <f t="shared" ca="1" si="13"/>
        <v/>
      </c>
    </row>
    <row r="352" ht="13.15">
      <c r="D352" s="6" t="str">
        <f t="shared" ca="1" si="13"/>
        <v/>
      </c>
    </row>
    <row r="353" ht="13.15">
      <c r="D353" s="6" t="str">
        <f t="shared" ca="1" si="13"/>
        <v/>
      </c>
    </row>
    <row r="354" ht="13.15">
      <c r="D354" s="6" t="str">
        <f t="shared" ca="1" si="13"/>
        <v/>
      </c>
    </row>
    <row r="355" ht="13.15">
      <c r="D355" s="6" t="str">
        <f t="shared" ca="1" si="13"/>
        <v/>
      </c>
    </row>
    <row r="356" ht="13.15">
      <c r="D356" s="6" t="str">
        <f t="shared" ca="1" si="13"/>
        <v/>
      </c>
    </row>
    <row r="357" ht="13.15">
      <c r="D357" s="6" t="str">
        <f t="shared" ca="1" si="13"/>
        <v/>
      </c>
    </row>
    <row r="358" ht="13.15">
      <c r="D358" s="6" t="str">
        <f t="shared" ca="1" si="13"/>
        <v/>
      </c>
    </row>
    <row r="359" ht="13.15">
      <c r="D359" s="6" t="str">
        <f t="shared" ca="1" si="13"/>
        <v/>
      </c>
    </row>
    <row r="360" ht="13.15">
      <c r="D360" s="6" t="str">
        <f t="shared" ca="1" si="13"/>
        <v/>
      </c>
    </row>
    <row r="361" ht="13.15">
      <c r="D361" s="6" t="str">
        <f t="shared" ca="1" si="13"/>
        <v/>
      </c>
    </row>
    <row r="362" ht="13.15">
      <c r="D362" s="6" t="str">
        <f t="shared" ca="1" si="13"/>
        <v/>
      </c>
    </row>
    <row r="363" ht="13.15">
      <c r="D363" s="6" t="str">
        <f t="shared" ca="1" si="13"/>
        <v/>
      </c>
    </row>
    <row r="364" ht="13.15">
      <c r="D364" s="6" t="str">
        <f t="shared" ca="1" si="13"/>
        <v/>
      </c>
    </row>
    <row r="365" ht="13.15">
      <c r="D365" s="6" t="str">
        <f t="shared" ca="1" si="13"/>
        <v/>
      </c>
    </row>
    <row r="366" ht="13.15">
      <c r="D366" s="6" t="str">
        <f t="shared" ca="1" si="13"/>
        <v/>
      </c>
    </row>
    <row r="367" ht="13.15">
      <c r="D367" s="6" t="str">
        <f t="shared" ca="1" si="13"/>
        <v/>
      </c>
    </row>
    <row r="368" ht="13.15">
      <c r="D368" s="6" t="str">
        <f t="shared" ca="1" si="13"/>
        <v/>
      </c>
    </row>
    <row r="369" ht="13.15">
      <c r="D369" s="6" t="str">
        <f t="shared" ca="1" si="13"/>
        <v/>
      </c>
    </row>
    <row r="370" ht="13.15">
      <c r="D370" s="6" t="str">
        <f t="shared" ca="1" si="13"/>
        <v/>
      </c>
    </row>
    <row r="371" ht="13.15">
      <c r="D371" s="6" t="str">
        <f t="shared" ca="1" si="13"/>
        <v/>
      </c>
    </row>
    <row r="372" ht="13.15">
      <c r="D372" s="6" t="str">
        <f t="shared" ca="1" si="13"/>
        <v/>
      </c>
    </row>
    <row r="373" ht="13.15">
      <c r="D373" s="6" t="str">
        <f t="shared" ca="1" si="13"/>
        <v/>
      </c>
    </row>
    <row r="374" ht="13.15">
      <c r="D374" s="6" t="str">
        <f t="shared" ca="1" si="13"/>
        <v/>
      </c>
    </row>
    <row r="375" ht="13.15">
      <c r="D375" s="6" t="str">
        <f t="shared" ca="1" si="13"/>
        <v/>
      </c>
    </row>
    <row r="376" ht="13.15">
      <c r="D376" s="6" t="str">
        <f t="shared" ca="1" si="13"/>
        <v/>
      </c>
    </row>
    <row r="377" ht="13.15">
      <c r="D377" s="6" t="str">
        <f t="shared" ca="1" si="13"/>
        <v/>
      </c>
    </row>
    <row r="378" ht="13.15">
      <c r="D378" s="6" t="str">
        <f t="shared" ca="1" si="13"/>
        <v/>
      </c>
    </row>
    <row r="379" ht="13.15">
      <c r="D379" s="6" t="str">
        <f t="shared" ca="1" si="13"/>
        <v/>
      </c>
    </row>
    <row r="380" ht="13.15">
      <c r="D380" s="6" t="str">
        <f t="shared" ca="1" si="13"/>
        <v/>
      </c>
    </row>
    <row r="381" ht="13.15">
      <c r="D381" s="6" t="str">
        <f t="shared" ca="1" si="13"/>
        <v/>
      </c>
    </row>
    <row r="382" ht="13.15">
      <c r="D382" s="6" t="str">
        <f t="shared" ca="1" si="13"/>
        <v/>
      </c>
    </row>
    <row r="383" ht="13.15">
      <c r="D383" s="6" t="str">
        <f t="shared" ca="1" si="13"/>
        <v/>
      </c>
    </row>
    <row r="384" ht="13.15">
      <c r="D384" s="6" t="str">
        <f t="shared" ca="1" si="13"/>
        <v/>
      </c>
    </row>
    <row r="385" ht="13.15">
      <c r="D385" s="6" t="str">
        <f t="shared" ca="1" si="13"/>
        <v/>
      </c>
    </row>
    <row r="386" ht="13.15">
      <c r="D386" s="6" t="str">
        <f t="shared" ca="1" si="13"/>
        <v/>
      </c>
    </row>
    <row r="387" ht="13.15">
      <c r="D387" s="6" t="str">
        <f t="shared" ref="D387:D450" ca="1" si="14">IF(OR(C387="",F387=FALSE),"",IF(DATE(YEAR(TODAY()),MONTH(TODAY()),C387)&gt;=TODAY(),DATE(YEAR(TODAY()),MONTH(TODAY()),C387),EDATE(DATE(YEAR(TODAY()),MONTH(TODAY()),C387),1)))</f>
        <v/>
      </c>
    </row>
    <row r="388" ht="13.15">
      <c r="D388" s="6" t="str">
        <f t="shared" ca="1" si="14"/>
        <v/>
      </c>
    </row>
    <row r="389" ht="13.15">
      <c r="D389" s="6" t="str">
        <f t="shared" ca="1" si="14"/>
        <v/>
      </c>
    </row>
    <row r="390" ht="13.15">
      <c r="D390" s="6" t="str">
        <f t="shared" ca="1" si="14"/>
        <v/>
      </c>
    </row>
    <row r="391" ht="13.15">
      <c r="D391" s="6" t="str">
        <f t="shared" ca="1" si="14"/>
        <v/>
      </c>
    </row>
    <row r="392" ht="13.15">
      <c r="D392" s="6" t="str">
        <f t="shared" ca="1" si="14"/>
        <v/>
      </c>
    </row>
    <row r="393" ht="13.15">
      <c r="D393" s="6" t="str">
        <f t="shared" ca="1" si="14"/>
        <v/>
      </c>
    </row>
    <row r="394" ht="13.15">
      <c r="D394" s="6" t="str">
        <f t="shared" ca="1" si="14"/>
        <v/>
      </c>
    </row>
    <row r="395" ht="13.15">
      <c r="D395" s="6" t="str">
        <f t="shared" ca="1" si="14"/>
        <v/>
      </c>
    </row>
    <row r="396" ht="13.15">
      <c r="D396" s="6" t="str">
        <f t="shared" ca="1" si="14"/>
        <v/>
      </c>
    </row>
    <row r="397" ht="13.15">
      <c r="D397" s="6" t="str">
        <f t="shared" ca="1" si="14"/>
        <v/>
      </c>
    </row>
    <row r="398" ht="13.15">
      <c r="D398" s="6" t="str">
        <f t="shared" ca="1" si="14"/>
        <v/>
      </c>
    </row>
    <row r="399" ht="13.15">
      <c r="D399" s="6" t="str">
        <f t="shared" ca="1" si="14"/>
        <v/>
      </c>
    </row>
    <row r="400" ht="13.15">
      <c r="D400" s="6" t="str">
        <f t="shared" ca="1" si="14"/>
        <v/>
      </c>
    </row>
    <row r="401" ht="13.15">
      <c r="D401" s="6" t="str">
        <f t="shared" ca="1" si="14"/>
        <v/>
      </c>
    </row>
    <row r="402" ht="13.15">
      <c r="D402" s="6" t="str">
        <f t="shared" ca="1" si="14"/>
        <v/>
      </c>
    </row>
    <row r="403" ht="13.15">
      <c r="D403" s="6" t="str">
        <f t="shared" ca="1" si="14"/>
        <v/>
      </c>
    </row>
    <row r="404" ht="13.15">
      <c r="D404" s="6" t="str">
        <f t="shared" ca="1" si="14"/>
        <v/>
      </c>
    </row>
    <row r="405" ht="13.15">
      <c r="D405" s="6" t="str">
        <f t="shared" ca="1" si="14"/>
        <v/>
      </c>
    </row>
    <row r="406" ht="13.15">
      <c r="D406" s="6" t="str">
        <f t="shared" ca="1" si="14"/>
        <v/>
      </c>
    </row>
    <row r="407" ht="13.15">
      <c r="D407" s="6" t="str">
        <f t="shared" ca="1" si="14"/>
        <v/>
      </c>
    </row>
    <row r="408" ht="13.15">
      <c r="D408" s="6" t="str">
        <f t="shared" ca="1" si="14"/>
        <v/>
      </c>
    </row>
    <row r="409" ht="13.15">
      <c r="D409" s="6" t="str">
        <f t="shared" ca="1" si="14"/>
        <v/>
      </c>
    </row>
    <row r="410" ht="13.15">
      <c r="D410" s="6" t="str">
        <f t="shared" ca="1" si="14"/>
        <v/>
      </c>
    </row>
    <row r="411" ht="13.15">
      <c r="D411" s="6" t="str">
        <f t="shared" ca="1" si="14"/>
        <v/>
      </c>
    </row>
    <row r="412" ht="13.15">
      <c r="D412" s="6" t="str">
        <f t="shared" ca="1" si="14"/>
        <v/>
      </c>
    </row>
    <row r="413" ht="13.15">
      <c r="D413" s="6" t="str">
        <f t="shared" ca="1" si="14"/>
        <v/>
      </c>
    </row>
    <row r="414" ht="13.15">
      <c r="D414" s="6" t="str">
        <f t="shared" ca="1" si="14"/>
        <v/>
      </c>
    </row>
    <row r="415" ht="13.15">
      <c r="D415" s="6" t="str">
        <f t="shared" ca="1" si="14"/>
        <v/>
      </c>
    </row>
    <row r="416" ht="13.15">
      <c r="D416" s="6" t="str">
        <f t="shared" ca="1" si="14"/>
        <v/>
      </c>
    </row>
    <row r="417" ht="13.15">
      <c r="D417" s="6" t="str">
        <f t="shared" ca="1" si="14"/>
        <v/>
      </c>
    </row>
    <row r="418" ht="13.15">
      <c r="D418" s="6" t="str">
        <f t="shared" ca="1" si="14"/>
        <v/>
      </c>
    </row>
    <row r="419" ht="13.15">
      <c r="D419" s="6" t="str">
        <f t="shared" ca="1" si="14"/>
        <v/>
      </c>
    </row>
    <row r="420" ht="13.15">
      <c r="D420" s="6" t="str">
        <f t="shared" ca="1" si="14"/>
        <v/>
      </c>
    </row>
    <row r="421" ht="13.15">
      <c r="D421" s="6" t="str">
        <f t="shared" ca="1" si="14"/>
        <v/>
      </c>
    </row>
    <row r="422" ht="13.15">
      <c r="D422" s="6" t="str">
        <f t="shared" ca="1" si="14"/>
        <v/>
      </c>
    </row>
    <row r="423" ht="13.15">
      <c r="D423" s="6" t="str">
        <f t="shared" ca="1" si="14"/>
        <v/>
      </c>
    </row>
    <row r="424" ht="13.15">
      <c r="D424" s="6" t="str">
        <f t="shared" ca="1" si="14"/>
        <v/>
      </c>
    </row>
    <row r="425" ht="13.15">
      <c r="D425" s="6" t="str">
        <f t="shared" ca="1" si="14"/>
        <v/>
      </c>
    </row>
    <row r="426" ht="13.15">
      <c r="D426" s="6" t="str">
        <f t="shared" ca="1" si="14"/>
        <v/>
      </c>
    </row>
    <row r="427" ht="13.15">
      <c r="D427" s="6" t="str">
        <f t="shared" ca="1" si="14"/>
        <v/>
      </c>
    </row>
    <row r="428" ht="13.15">
      <c r="D428" s="6" t="str">
        <f t="shared" ca="1" si="14"/>
        <v/>
      </c>
    </row>
    <row r="429" ht="13.15">
      <c r="D429" s="6" t="str">
        <f t="shared" ca="1" si="14"/>
        <v/>
      </c>
    </row>
    <row r="430" ht="13.15">
      <c r="D430" s="6" t="str">
        <f t="shared" ca="1" si="14"/>
        <v/>
      </c>
    </row>
    <row r="431" ht="13.15">
      <c r="D431" s="6" t="str">
        <f t="shared" ca="1" si="14"/>
        <v/>
      </c>
    </row>
    <row r="432" ht="13.15">
      <c r="D432" s="6" t="str">
        <f t="shared" ca="1" si="14"/>
        <v/>
      </c>
    </row>
    <row r="433" ht="13.15">
      <c r="D433" s="6" t="str">
        <f t="shared" ca="1" si="14"/>
        <v/>
      </c>
    </row>
    <row r="434" ht="13.15">
      <c r="D434" s="6" t="str">
        <f t="shared" ca="1" si="14"/>
        <v/>
      </c>
    </row>
    <row r="435" ht="13.15">
      <c r="D435" s="6" t="str">
        <f t="shared" ca="1" si="14"/>
        <v/>
      </c>
    </row>
    <row r="436" ht="13.15">
      <c r="D436" s="6" t="str">
        <f t="shared" ca="1" si="14"/>
        <v/>
      </c>
    </row>
    <row r="437" ht="13.15">
      <c r="D437" s="6" t="str">
        <f t="shared" ca="1" si="14"/>
        <v/>
      </c>
    </row>
    <row r="438" ht="13.15">
      <c r="D438" s="6" t="str">
        <f t="shared" ca="1" si="14"/>
        <v/>
      </c>
    </row>
    <row r="439" ht="13.15">
      <c r="D439" s="6" t="str">
        <f t="shared" ca="1" si="14"/>
        <v/>
      </c>
    </row>
    <row r="440" ht="13.15">
      <c r="D440" s="6" t="str">
        <f t="shared" ca="1" si="14"/>
        <v/>
      </c>
    </row>
    <row r="441" ht="13.15">
      <c r="D441" s="6" t="str">
        <f t="shared" ca="1" si="14"/>
        <v/>
      </c>
    </row>
    <row r="442" ht="13.15">
      <c r="D442" s="6" t="str">
        <f t="shared" ca="1" si="14"/>
        <v/>
      </c>
    </row>
    <row r="443" ht="13.15">
      <c r="D443" s="6" t="str">
        <f t="shared" ca="1" si="14"/>
        <v/>
      </c>
    </row>
    <row r="444" ht="13.15">
      <c r="D444" s="6" t="str">
        <f t="shared" ca="1" si="14"/>
        <v/>
      </c>
    </row>
    <row r="445" ht="13.15">
      <c r="D445" s="6" t="str">
        <f t="shared" ca="1" si="14"/>
        <v/>
      </c>
    </row>
    <row r="446" ht="13.15">
      <c r="D446" s="6" t="str">
        <f t="shared" ca="1" si="14"/>
        <v/>
      </c>
    </row>
    <row r="447" ht="13.15">
      <c r="D447" s="6" t="str">
        <f t="shared" ca="1" si="14"/>
        <v/>
      </c>
    </row>
    <row r="448" ht="13.15">
      <c r="D448" s="6" t="str">
        <f t="shared" ca="1" si="14"/>
        <v/>
      </c>
    </row>
    <row r="449" ht="13.15">
      <c r="D449" s="6" t="str">
        <f t="shared" ca="1" si="14"/>
        <v/>
      </c>
    </row>
    <row r="450" ht="13.15">
      <c r="D450" s="6" t="str">
        <f t="shared" ca="1" si="14"/>
        <v/>
      </c>
    </row>
    <row r="451" ht="13.15">
      <c r="D451" s="6" t="str">
        <f t="shared" ref="D451:D507" ca="1" si="15">IF(OR(C451="",F451=FALSE),"",IF(DATE(YEAR(TODAY()),MONTH(TODAY()),C451)&gt;=TODAY(),DATE(YEAR(TODAY()),MONTH(TODAY()),C451),EDATE(DATE(YEAR(TODAY()),MONTH(TODAY()),C451),1)))</f>
        <v/>
      </c>
    </row>
    <row r="452" ht="13.15">
      <c r="D452" s="6" t="str">
        <f t="shared" ca="1" si="15"/>
        <v/>
      </c>
    </row>
    <row r="453" ht="13.15">
      <c r="D453" s="6" t="str">
        <f t="shared" ca="1" si="15"/>
        <v/>
      </c>
    </row>
    <row r="454" ht="13.15">
      <c r="D454" s="6" t="str">
        <f t="shared" ca="1" si="15"/>
        <v/>
      </c>
    </row>
    <row r="455" ht="13.15">
      <c r="D455" s="6" t="str">
        <f t="shared" ca="1" si="15"/>
        <v/>
      </c>
    </row>
    <row r="456" ht="13.15">
      <c r="D456" s="6" t="str">
        <f t="shared" ca="1" si="15"/>
        <v/>
      </c>
    </row>
    <row r="457" ht="13.15">
      <c r="D457" s="6" t="str">
        <f t="shared" ca="1" si="15"/>
        <v/>
      </c>
    </row>
    <row r="458" ht="13.15">
      <c r="D458" s="6" t="str">
        <f t="shared" ca="1" si="15"/>
        <v/>
      </c>
    </row>
    <row r="459" ht="13.15">
      <c r="D459" s="6" t="str">
        <f t="shared" ca="1" si="15"/>
        <v/>
      </c>
    </row>
    <row r="460" ht="13.15">
      <c r="D460" s="6" t="str">
        <f t="shared" ca="1" si="15"/>
        <v/>
      </c>
    </row>
    <row r="461" ht="13.15">
      <c r="D461" s="6" t="str">
        <f t="shared" ca="1" si="15"/>
        <v/>
      </c>
    </row>
    <row r="462" ht="13.15">
      <c r="D462" s="6" t="str">
        <f t="shared" ca="1" si="15"/>
        <v/>
      </c>
    </row>
    <row r="463" ht="13.15">
      <c r="D463" s="6" t="str">
        <f t="shared" ca="1" si="15"/>
        <v/>
      </c>
    </row>
    <row r="464" ht="13.15">
      <c r="D464" s="6" t="str">
        <f t="shared" ca="1" si="15"/>
        <v/>
      </c>
    </row>
    <row r="465" ht="13.15">
      <c r="D465" s="6" t="str">
        <f t="shared" ca="1" si="15"/>
        <v/>
      </c>
    </row>
    <row r="466" ht="13.15">
      <c r="D466" s="6" t="str">
        <f t="shared" ca="1" si="15"/>
        <v/>
      </c>
    </row>
    <row r="467" ht="13.15">
      <c r="D467" s="6" t="str">
        <f t="shared" ca="1" si="15"/>
        <v/>
      </c>
    </row>
    <row r="468" ht="13.15">
      <c r="D468" s="6" t="str">
        <f t="shared" ca="1" si="15"/>
        <v/>
      </c>
    </row>
    <row r="469" ht="13.15">
      <c r="D469" s="6" t="str">
        <f t="shared" ca="1" si="15"/>
        <v/>
      </c>
    </row>
    <row r="470" ht="13.15">
      <c r="D470" s="6" t="str">
        <f t="shared" ca="1" si="15"/>
        <v/>
      </c>
    </row>
    <row r="471" ht="13.15">
      <c r="D471" s="6" t="str">
        <f t="shared" ca="1" si="15"/>
        <v/>
      </c>
    </row>
    <row r="472" ht="13.15">
      <c r="D472" s="6" t="str">
        <f t="shared" ca="1" si="15"/>
        <v/>
      </c>
    </row>
    <row r="473" ht="13.15">
      <c r="D473" s="6" t="str">
        <f t="shared" ca="1" si="15"/>
        <v/>
      </c>
    </row>
    <row r="474" ht="13.15">
      <c r="D474" s="6" t="str">
        <f t="shared" ca="1" si="15"/>
        <v/>
      </c>
    </row>
    <row r="475" ht="13.15">
      <c r="D475" s="6" t="str">
        <f t="shared" ca="1" si="15"/>
        <v/>
      </c>
    </row>
    <row r="476" ht="13.15">
      <c r="D476" s="6" t="str">
        <f t="shared" ca="1" si="15"/>
        <v/>
      </c>
    </row>
    <row r="477" ht="13.15">
      <c r="D477" s="6" t="str">
        <f t="shared" ca="1" si="15"/>
        <v/>
      </c>
    </row>
    <row r="478" ht="13.15">
      <c r="D478" s="6" t="str">
        <f t="shared" ca="1" si="15"/>
        <v/>
      </c>
    </row>
    <row r="479" ht="13.15">
      <c r="D479" s="6" t="str">
        <f t="shared" ca="1" si="15"/>
        <v/>
      </c>
    </row>
    <row r="480" ht="13.15">
      <c r="D480" s="6" t="str">
        <f t="shared" ca="1" si="15"/>
        <v/>
      </c>
    </row>
    <row r="481" ht="13.15">
      <c r="D481" s="6" t="str">
        <f t="shared" ca="1" si="15"/>
        <v/>
      </c>
    </row>
    <row r="482" ht="13.15">
      <c r="D482" s="6" t="str">
        <f t="shared" ca="1" si="15"/>
        <v/>
      </c>
    </row>
    <row r="483" ht="13.15">
      <c r="D483" s="6" t="str">
        <f t="shared" ca="1" si="15"/>
        <v/>
      </c>
    </row>
    <row r="484" ht="13.15">
      <c r="D484" s="6" t="str">
        <f t="shared" ca="1" si="15"/>
        <v/>
      </c>
    </row>
    <row r="485" ht="13.15">
      <c r="D485" s="6" t="str">
        <f t="shared" ca="1" si="15"/>
        <v/>
      </c>
    </row>
    <row r="486" ht="13.15">
      <c r="D486" s="6" t="str">
        <f t="shared" ca="1" si="15"/>
        <v/>
      </c>
    </row>
    <row r="487" ht="13.15">
      <c r="D487" s="6" t="str">
        <f t="shared" ca="1" si="15"/>
        <v/>
      </c>
    </row>
    <row r="488" ht="13.15">
      <c r="D488" s="6" t="str">
        <f t="shared" ca="1" si="15"/>
        <v/>
      </c>
    </row>
    <row r="489" ht="13.15">
      <c r="D489" s="6" t="str">
        <f t="shared" ca="1" si="15"/>
        <v/>
      </c>
    </row>
    <row r="490" ht="13.15">
      <c r="D490" s="6" t="str">
        <f t="shared" ca="1" si="15"/>
        <v/>
      </c>
    </row>
    <row r="491" ht="13.15">
      <c r="D491" s="6" t="str">
        <f t="shared" ca="1" si="15"/>
        <v/>
      </c>
    </row>
    <row r="492" ht="13.15">
      <c r="D492" s="6" t="str">
        <f t="shared" ca="1" si="15"/>
        <v/>
      </c>
    </row>
    <row r="493" ht="13.15">
      <c r="D493" s="6" t="str">
        <f t="shared" ca="1" si="15"/>
        <v/>
      </c>
    </row>
    <row r="494" ht="13.15">
      <c r="D494" s="6" t="str">
        <f t="shared" ca="1" si="15"/>
        <v/>
      </c>
    </row>
    <row r="495" ht="13.15">
      <c r="D495" s="6" t="str">
        <f t="shared" ca="1" si="15"/>
        <v/>
      </c>
    </row>
    <row r="496" ht="13.15">
      <c r="D496" s="6" t="str">
        <f t="shared" ca="1" si="15"/>
        <v/>
      </c>
    </row>
    <row r="497" ht="13.15">
      <c r="D497" s="6" t="str">
        <f t="shared" ca="1" si="15"/>
        <v/>
      </c>
    </row>
    <row r="498" ht="13.15">
      <c r="D498" s="6" t="str">
        <f t="shared" ca="1" si="15"/>
        <v/>
      </c>
    </row>
    <row r="499" ht="13.15">
      <c r="D499" s="6" t="str">
        <f t="shared" ca="1" si="15"/>
        <v/>
      </c>
    </row>
    <row r="500" ht="13.15">
      <c r="D500" s="6" t="str">
        <f t="shared" ca="1" si="15"/>
        <v/>
      </c>
    </row>
    <row r="501" ht="13.15">
      <c r="D501" s="6" t="str">
        <f t="shared" ca="1" si="15"/>
        <v/>
      </c>
    </row>
    <row r="502" ht="13.15">
      <c r="D502" s="6" t="str">
        <f t="shared" ca="1" si="15"/>
        <v/>
      </c>
    </row>
    <row r="503" ht="13.15">
      <c r="D503" s="6" t="str">
        <f t="shared" ca="1" si="15"/>
        <v/>
      </c>
    </row>
    <row r="504" ht="13.15">
      <c r="D504" s="6" t="str">
        <f t="shared" ca="1" si="15"/>
        <v/>
      </c>
    </row>
    <row r="505" ht="13.15">
      <c r="D505" s="6" t="str">
        <f t="shared" ca="1" si="15"/>
        <v/>
      </c>
    </row>
    <row r="506" ht="13.15">
      <c r="D506" s="6" t="str">
        <f t="shared" ca="1" si="15"/>
        <v/>
      </c>
    </row>
    <row r="507" ht="13.15">
      <c r="D507" s="6" t="str">
        <f t="shared" ca="1" si="15"/>
        <v/>
      </c>
    </row>
  </sheetData>
  <mergeCells count="8">
    <mergeCell ref="A79:N79"/>
    <mergeCell ref="A87:N87"/>
    <mergeCell ref="A101:N101"/>
    <mergeCell ref="A15:N15"/>
    <mergeCell ref="A23:N23"/>
    <mergeCell ref="A31:N31"/>
    <mergeCell ref="A39:N39"/>
    <mergeCell ref="A48:N4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E40007-00B6-4504-8CA4-000B004400D9}">
            <xm:f>F2=TRUE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F2:F13 H2:H13</xm:sqref>
        </x14:conditionalFormatting>
        <x14:conditionalFormatting xmlns:xm="http://schemas.microsoft.com/office/excel/2006/main">
          <x14:cfRule type="expression" priority="4" id="{004F00F5-0026-40AB-8303-0044008B0012}">
            <xm:f>F2=FALSE</xm:f>
            <x14:dxf>
              <fill>
                <patternFill patternType="solid">
                  <fgColor rgb="FFD5D8DC"/>
                  <bgColor rgb="FFD5D8DC"/>
                </patternFill>
              </fill>
            </x14:dxf>
          </x14:cfRule>
          <xm:sqref>F2:F13</xm:sqref>
        </x14:conditionalFormatting>
        <x14:conditionalFormatting xmlns:xm="http://schemas.microsoft.com/office/excel/2006/main">
          <x14:cfRule type="expression" priority="2" id="{006B005B-000B-4651-93FA-00C2002000A8}">
            <xm:f>H2=FALSE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H2:H13</xm:sqref>
        </x14:conditionalFormatting>
        <x14:conditionalFormatting xmlns:xm="http://schemas.microsoft.com/office/excel/2006/main">
          <x14:cfRule type="cellIs" priority="5" operator="between" id="{00B00085-0077-4BD7-85B7-005300890046}">
            <xm:f>0</xm:f>
            <xm:f>3</xm:f>
            <x14:dxf>
              <font>
                <color rgb="FFCC0000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E41:E45</xm:sqref>
        </x14:conditionalFormatting>
        <x14:conditionalFormatting xmlns:xm="http://schemas.microsoft.com/office/excel/2006/main">
          <x14:cfRule type="cellIs" priority="6" operator="between" id="{005A00A3-00A3-4A47-A106-009C009100BB}">
            <xm:f>4</xm:f>
            <xm:f>7</xm:f>
            <x14:dxf>
              <font>
                <color rgb="FF996600"/>
              </font>
              <fill>
                <patternFill patternType="solid">
                  <fgColor rgb="FFFFF9C4"/>
                  <bgColor rgb="FFFFF9C4"/>
                </patternFill>
              </fill>
            </x14:dxf>
          </x14:cfRule>
          <xm:sqref>E41:E45</xm:sqref>
        </x14:conditionalFormatting>
        <x14:conditionalFormatting xmlns:xm="http://schemas.microsoft.com/office/excel/2006/main">
          <x14:cfRule type="cellIs" priority="7" operator="between" id="{00B50029-0052-400D-95A1-005D00E7002F}">
            <xm:f>8</xm:f>
            <xm:f>999</xm:f>
            <x14:dxf>
              <font>
                <color rgb="FF006600"/>
              </font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E41:E45</xm:sqref>
        </x14:conditionalFormatting>
        <x14:conditionalFormatting xmlns:xm="http://schemas.microsoft.com/office/excel/2006/main">
          <x14:cfRule type="cellIs" priority="8" operator="equal" id="{003D002F-0037-4DF6-8477-00DC00EB0072}">
            <xm:f>TRUE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F2:F13</xm:sqref>
        </x14:conditionalFormatting>
        <x14:conditionalFormatting xmlns:xm="http://schemas.microsoft.com/office/excel/2006/main">
          <x14:cfRule type="cellIs" priority="9" operator="equal" id="{00B40047-000B-46F9-A875-0085008200C0}">
            <xm:f>FALSE</xm:f>
            <x14:dxf>
              <fill>
                <patternFill patternType="solid">
                  <fgColor rgb="FFD5D8DC"/>
                  <bgColor rgb="FFD5D8DC"/>
                </patternFill>
              </fill>
            </x14:dxf>
          </x14:cfRule>
          <xm:sqref>F2:F13</xm:sqref>
        </x14:conditionalFormatting>
        <x14:conditionalFormatting xmlns:xm="http://schemas.microsoft.com/office/excel/2006/main">
          <x14:cfRule type="cellIs" priority="10" operator="equal" id="{00B6003D-0016-4487-B87F-007300E3009C}">
            <xm:f>TRUE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K2:K13</xm:sqref>
        </x14:conditionalFormatting>
        <x14:conditionalFormatting xmlns:xm="http://schemas.microsoft.com/office/excel/2006/main">
          <x14:cfRule type="cellIs" priority="11" operator="equal" id="{006000C0-00B9-4BED-89B3-0090009B00FD}">
            <xm:f>FALSE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K2:K13</xm:sqref>
        </x14:conditionalFormatting>
        <x14:conditionalFormatting xmlns:xm="http://schemas.microsoft.com/office/excel/2006/main">
          <x14:cfRule type="cellIs" priority="12" operator="lessThan" id="{009300D8-0052-41D3-9D50-0023009C00A4}">
            <xm:f>0.4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cellIs" priority="13" operator="between" id="{00040083-0072-4568-BDA0-002B005D00D5}">
            <xm:f>0.4</xm:f>
            <xm:f>0.5</xm:f>
            <x14:dxf>
              <fill>
                <patternFill patternType="solid">
                  <fgColor rgb="FFFCE8B2"/>
                  <bgColor rgb="FFFCE8B2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cellIs" priority="14" operator="greaterThanOrEqual" id="{000A0093-0025-4F0D-8F59-00E800F60056}">
            <xm:f>0.5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cellIs" priority="15" operator="greaterThanOrEqual" id="{0080000E-00D5-4ADC-902B-0015002300C0}">
            <xm:f>0.9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B83</xm:sqref>
        </x14:conditionalFormatting>
        <x14:conditionalFormatting xmlns:xm="http://schemas.microsoft.com/office/excel/2006/main">
          <x14:cfRule type="cellIs" priority="16" operator="between" id="{005900D7-00F3-4B84-A003-001B00310071}">
            <xm:f>0.7</xm:f>
            <xm:f>0.9</xm:f>
            <x14:dxf>
              <fill>
                <patternFill patternType="solid">
                  <fgColor rgb="FFFCE8B2"/>
                  <bgColor rgb="FFFCE8B2"/>
                </patternFill>
              </fill>
            </x14:dxf>
          </x14:cfRule>
          <xm:sqref>B83</xm:sqref>
        </x14:conditionalFormatting>
        <x14:conditionalFormatting xmlns:xm="http://schemas.microsoft.com/office/excel/2006/main">
          <x14:cfRule type="cellIs" priority="17" operator="lessThan" id="{00CB00BE-00AA-4975-8238-002700020051}">
            <xm:f>0.7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B83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8C00B8-003B-4ECB-B3E8-00A800A600A1}" type="list" allowBlank="1" errorStyle="stop" imeMode="noControl" operator="between" showDropDown="0" showErrorMessage="1" showInputMessage="1">
          <x14:formula1>
            <xm:f>"Essential,Discretionary,Debt,Variable"</xm:f>
          </x14:formula1>
          <xm:sqref>J2:J13</xm:sqref>
        </x14:dataValidation>
        <x14:dataValidation xr:uid="{001300BA-0048-44A2-881D-003A00CD005E}" type="list" allowBlank="1" errorStyle="stop" imeMode="noControl" operator="between" showDropDown="0" showErrorMessage="1" showInputMessage="1">
          <x14:formula1>
            <xm:f>"TRUE,FALSE"</xm:f>
          </x14:formula1>
          <xm:sqref>K2:K13</xm:sqref>
        </x14:dataValidation>
        <x14:dataValidation xr:uid="{001A0056-002F-43C9-BE48-005700D60079}" type="list" allowBlank="1" errorStyle="stop" imeMode="noControl" operator="between" showDropDown="0" showErrorMessage="1" showInputMessage="1">
          <x14:formula1>
            <xm:f>"Monthly,Quarterly,Semi-Annual,Annual,Variable"</xm:f>
          </x14:formula1>
          <xm:sqref>E2:E13</xm:sqref>
        </x14:dataValidation>
        <x14:dataValidation xr:uid="{00C90071-0092-4728-B330-00D4007E0031}" type="list" allowBlank="1" errorStyle="stop" imeMode="noControl" operator="between" showDropDown="0" showErrorMessage="1" showInputMessage="1">
          <x14:formula1>
            <xm:f>"Autopay,Manual,Check,ACH,Credit Card,Cash"</xm:f>
          </x14:formula1>
          <xm:sqref>F59:F77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B1" activeCellId="0" sqref="B1"/>
    </sheetView>
  </sheetViews>
  <sheetFormatPr defaultColWidth="12.7109375" defaultRowHeight="15.75" customHeight="1"/>
  <cols>
    <col customWidth="1" min="1" max="1" width="46.28515625"/>
    <col customWidth="1" min="2" max="3" width="27.7109375"/>
  </cols>
  <sheetData>
    <row r="1" ht="15.75" customHeight="1">
      <c r="A1" s="44" t="s">
        <v>97</v>
      </c>
      <c r="B1" s="45" t="str">
        <f ca="1">TEXT(TODAY(),"MMMM D, YYYY")</f>
        <v xml:space="preserve">April 23, 2026</v>
      </c>
    </row>
    <row r="2" ht="13.15">
      <c r="A2" s="6" t="s">
        <v>98</v>
      </c>
      <c r="B2" s="6" t="s">
        <v>99</v>
      </c>
      <c r="M2" s="15"/>
    </row>
    <row r="3" ht="13.15">
      <c r="A3" s="46" t="s">
        <v>100</v>
      </c>
      <c r="B3" s="6"/>
      <c r="M3" s="15"/>
      <c r="N3" s="15"/>
    </row>
    <row r="4" ht="13.15">
      <c r="A4" s="6" t="s">
        <v>101</v>
      </c>
      <c r="B4" s="34">
        <v>46149</v>
      </c>
      <c r="M4" s="15"/>
    </row>
    <row r="5" ht="13.15">
      <c r="A5" s="6" t="s">
        <v>102</v>
      </c>
      <c r="B5" s="9">
        <v>46135</v>
      </c>
      <c r="M5" s="15"/>
    </row>
    <row r="6" ht="13.15">
      <c r="A6" s="6" t="s">
        <v>103</v>
      </c>
      <c r="B6" s="47">
        <v>2152</v>
      </c>
      <c r="M6" s="15"/>
    </row>
    <row r="7" ht="13.15">
      <c r="A7" s="6" t="s">
        <v>104</v>
      </c>
      <c r="B7" s="6" t="str">
        <f ca="1">IF(B5=TODAY(),"✅ Balance current","⚠️ Balance NOT updated today")</f>
        <v xml:space="preserve">✅ Balance current</v>
      </c>
    </row>
    <row r="8" ht="13.15">
      <c r="A8" s="6" t="s">
        <v>105</v>
      </c>
      <c r="B8" s="48">
        <f ca="1">TODAY()-B5</f>
        <v>0</v>
      </c>
    </row>
    <row r="9" ht="13.15">
      <c r="A9" s="6"/>
      <c r="B9" s="6"/>
    </row>
    <row r="10" ht="13.15">
      <c r="A10" s="46" t="s">
        <v>106</v>
      </c>
      <c r="B10" s="6"/>
    </row>
    <row r="11" ht="13.15">
      <c r="A11" s="6" t="s">
        <v>107</v>
      </c>
      <c r="B11" s="6">
        <f ca="1">SUMIFS(Bills!$B$2:$B$13,Bills!$F$2:$F$13,TRUE,Bills!$H$2:$H$13,TRUE)</f>
        <v>1113</v>
      </c>
    </row>
    <row r="12" ht="13.15">
      <c r="A12" s="6" t="s">
        <v>108</v>
      </c>
      <c r="B12" s="47">
        <v>0</v>
      </c>
    </row>
    <row r="13" ht="15.75" customHeight="1">
      <c r="A13" s="6" t="s">
        <v>109</v>
      </c>
      <c r="B13">
        <v>0</v>
      </c>
    </row>
    <row r="14" ht="13.15">
      <c r="A14" t="s">
        <v>110</v>
      </c>
      <c r="B14" s="47">
        <f>Assumptions!B2</f>
        <v>1</v>
      </c>
    </row>
    <row r="15" ht="13.15">
      <c r="A15" s="6" t="s">
        <v>111</v>
      </c>
      <c r="B15" s="47">
        <f ca="1">B11</f>
        <v>1113</v>
      </c>
    </row>
    <row r="16" ht="13.15">
      <c r="A16" s="6" t="s">
        <v>112</v>
      </c>
      <c r="B16" s="47">
        <f ca="1">B11+B12+B13+B30+B31+B32+B40</f>
        <v>1113</v>
      </c>
    </row>
    <row r="17" ht="13.15">
      <c r="A17" s="6"/>
      <c r="B17" s="47"/>
    </row>
    <row r="18" ht="13.15">
      <c r="A18" s="46" t="s">
        <v>113</v>
      </c>
      <c r="B18" s="47"/>
    </row>
    <row r="19" ht="13.15">
      <c r="A19" s="6" t="s">
        <v>114</v>
      </c>
      <c r="B19" s="47">
        <f ca="1">MAX(0, B6 - IF(Assumptions!$B$15=TRUE, B16, B16-B33))</f>
        <v>1039</v>
      </c>
    </row>
    <row r="20" ht="13.15"/>
    <row r="21" ht="13.15">
      <c r="A21" s="6" t="s">
        <v>115</v>
      </c>
      <c r="B21" s="29">
        <f ca="1">IFERROR(IF(B4&lt;=B5,0,MAX(0,(B19-B24)/(B4-B5))),0)</f>
        <v>57.071428571428569</v>
      </c>
    </row>
    <row r="22" ht="13.15">
      <c r="A22" s="6" t="s">
        <v>116</v>
      </c>
      <c r="B22" s="29">
        <f ca="1">IFERROR(IF($B$4&lt;=TODAY(),0,MAX(0,(B19-B24)/($B$4-TODAY()))),0)</f>
        <v>57.071428571428569</v>
      </c>
    </row>
    <row r="23" ht="13.15">
      <c r="A23" s="6" t="s">
        <v>117</v>
      </c>
      <c r="B23" s="47">
        <f ca="1">IFERROR(IF(B21=0,"",B19/B21),"")</f>
        <v>18.205256570713392</v>
      </c>
    </row>
    <row r="24" ht="13.15">
      <c r="A24" s="6" t="s">
        <v>118</v>
      </c>
      <c r="B24" s="49">
        <v>240</v>
      </c>
    </row>
    <row r="25" ht="15.75" customHeight="1">
      <c r="A25" s="50" t="s">
        <v>119</v>
      </c>
      <c r="B25" s="51">
        <f ca="1">MAX(0, B19 - B24)</f>
        <v>799</v>
      </c>
    </row>
    <row r="26" ht="15.75" customHeight="1">
      <c r="A26" s="6" t="s">
        <v>120</v>
      </c>
      <c r="B26" t="str">
        <f>IF(WEEKDAY($B$4,2)&gt;=6,"WEEKEND PAYDAY RISK","")</f>
        <v/>
      </c>
    </row>
    <row r="27" ht="15.75" customHeight="1">
      <c r="A27" s="6" t="s">
        <v>121</v>
      </c>
      <c r="B27" t="str" cm="1">
        <f t="array" ref="B27">_xlfn.IFS(B19&lt;=0,"RED",B19&lt;Assumptions!$B$8,"YELLOW",TRUE,"GREEN")</f>
        <v>GREEN</v>
      </c>
    </row>
    <row r="28" ht="15.75" customHeight="1">
      <c r="A28" s="6"/>
    </row>
    <row r="29" ht="15.75" customHeight="1">
      <c r="A29" s="46" t="s">
        <v>122</v>
      </c>
    </row>
    <row r="30" ht="13.15">
      <c r="A30" s="6" t="s">
        <v>123</v>
      </c>
      <c r="B30" s="47">
        <v>0</v>
      </c>
    </row>
    <row r="31" ht="13.15">
      <c r="A31" s="6" t="s">
        <v>124</v>
      </c>
      <c r="B31" s="6">
        <v>0</v>
      </c>
    </row>
    <row r="32" ht="13.15">
      <c r="A32" s="6" t="s">
        <v>125</v>
      </c>
      <c r="B32" s="47">
        <v>0</v>
      </c>
    </row>
    <row r="33" ht="15.75" customHeight="1">
      <c r="A33" s="6" t="s">
        <v>126</v>
      </c>
      <c r="B33" s="52">
        <f>SUMIFS(Bills!$B$2:$B$13,Bills!$F$2:$F$13,TRUE,Bills!$C$2:$C$13,"&gt;="&amp;1,Bills!$C$2:$C$13,"&lt;="&amp;7)+(7*(Assumptions!$B$9/Assumptions!$B$4))</f>
        <v>1251.1578947368421</v>
      </c>
    </row>
    <row r="34" ht="15.75" customHeight="1">
      <c r="A34" s="46" t="s">
        <v>127</v>
      </c>
      <c r="C34" s="46" t="s">
        <v>60</v>
      </c>
    </row>
    <row r="35" ht="15.75" customHeight="1">
      <c r="A35" s="6" t="s">
        <v>128</v>
      </c>
      <c r="B35" s="37">
        <v>159</v>
      </c>
      <c r="C35" s="53">
        <v>46109</v>
      </c>
    </row>
    <row r="36" ht="15.75" customHeight="1">
      <c r="A36" s="6" t="s">
        <v>129</v>
      </c>
      <c r="C36" s="53"/>
    </row>
    <row r="37" ht="15.75" customHeight="1">
      <c r="A37" s="6" t="s">
        <v>130</v>
      </c>
      <c r="C37" s="53"/>
    </row>
    <row r="38" ht="15.75" customHeight="1">
      <c r="A38" s="6" t="s">
        <v>131</v>
      </c>
      <c r="C38" s="53"/>
    </row>
    <row r="39" ht="15.75" customHeight="1">
      <c r="A39" s="6" t="s">
        <v>132</v>
      </c>
      <c r="C39" s="53"/>
    </row>
    <row r="40" ht="15.75" customHeight="1">
      <c r="A40" s="6" t="s">
        <v>133</v>
      </c>
      <c r="B40" cm="1">
        <f t="array" ref="B40">SUMPRODUCT((B35:B39)*((C35:C39&gt;=TODAY())*(C35:C39&lt;=$B$4)*(B35:B39&lt;&gt;"")))</f>
        <v>0</v>
      </c>
    </row>
    <row r="42" ht="15.75" customHeight="1">
      <c r="A42" s="46" t="s">
        <v>134</v>
      </c>
    </row>
    <row r="43" ht="15.75" customHeight="1">
      <c r="A43" s="6" t="s">
        <v>135</v>
      </c>
      <c r="B43" s="54">
        <f>Assumptions!B9</f>
        <v>600</v>
      </c>
    </row>
    <row r="44" ht="15.75" customHeight="1">
      <c r="A44" s="6" t="s">
        <v>136</v>
      </c>
      <c r="B44">
        <v>0</v>
      </c>
    </row>
    <row r="45" ht="15.75" customHeight="1">
      <c r="A45" s="6" t="s">
        <v>137</v>
      </c>
      <c r="B45">
        <v>0</v>
      </c>
    </row>
    <row r="46" ht="15.75" customHeight="1">
      <c r="A46" s="6" t="s">
        <v>138</v>
      </c>
      <c r="B46">
        <v>0</v>
      </c>
    </row>
    <row r="47" ht="15.75" customHeight="1">
      <c r="A47" s="6" t="s">
        <v>139</v>
      </c>
      <c r="B47">
        <v>0</v>
      </c>
    </row>
    <row r="48" ht="15.75" customHeight="1">
      <c r="A48" s="6" t="s">
        <v>140</v>
      </c>
      <c r="B48">
        <v>0</v>
      </c>
    </row>
    <row r="49" ht="15.75" customHeight="1">
      <c r="A49" s="6" t="s">
        <v>141</v>
      </c>
      <c r="B49">
        <f>SUM(B44:B47)</f>
        <v>0</v>
      </c>
    </row>
    <row r="50" ht="15.75" customHeight="1">
      <c r="A50" s="6" t="s">
        <v>142</v>
      </c>
      <c r="B50">
        <f>MAX(0,B43-B49)</f>
        <v>600</v>
      </c>
    </row>
    <row r="51" ht="15.75" customHeight="1">
      <c r="A51" s="6" t="s">
        <v>143</v>
      </c>
      <c r="B51">
        <f>B48</f>
        <v>0</v>
      </c>
    </row>
    <row r="53" ht="15.75" customHeight="1">
      <c r="A53" s="46" t="s">
        <v>144</v>
      </c>
    </row>
    <row r="54" ht="15.75" customHeight="1">
      <c r="A54" s="6" t="s">
        <v>145</v>
      </c>
      <c r="B54" s="54">
        <f>Assumptions!B10</f>
        <v>3220</v>
      </c>
    </row>
    <row r="55" ht="15.75" customHeight="1">
      <c r="A55" s="6" t="s">
        <v>146</v>
      </c>
      <c r="B55" s="52">
        <f ca="1">IFERROR(INDEX(Commissions!$G:$G,MATCH(DATE(YEAR(TODAY()),MONTH(TODAY()),22),Commissions!$H:$H,0)),"")</f>
        <v>0</v>
      </c>
    </row>
    <row r="56" ht="15.75" customHeight="1">
      <c r="A56" s="6" t="s">
        <v>147</v>
      </c>
      <c r="B56" s="52">
        <f ca="1">B54+IF(B55="",0,B55)</f>
        <v>3220</v>
      </c>
    </row>
    <row r="57" ht="15.75" customHeight="1">
      <c r="A57" s="6" t="s">
        <v>148</v>
      </c>
      <c r="B57">
        <f>SUMIFS(Bills!$B$2:$B$13,Bills!$F$2:$F$13,TRUE)</f>
        <v>1523.95</v>
      </c>
    </row>
    <row r="58" ht="15.75" customHeight="1">
      <c r="A58" s="6" t="s">
        <v>149</v>
      </c>
      <c r="B58">
        <f ca="1">MAX(0,ROUND((($B$4-TODAY())/Assumptions!$B$4)*Assumptions!$B$9,2))</f>
        <v>276.31999999999999</v>
      </c>
    </row>
    <row r="59" ht="15.75" customHeight="1">
      <c r="A59" s="6" t="s">
        <v>150</v>
      </c>
      <c r="B59">
        <f>SUM(B35:B39)</f>
        <v>159</v>
      </c>
    </row>
    <row r="60" ht="15.75" customHeight="1">
      <c r="A60" s="6" t="s">
        <v>151</v>
      </c>
      <c r="B60">
        <f>B51</f>
        <v>0</v>
      </c>
    </row>
    <row r="61" ht="15.75" customHeight="1">
      <c r="A61" s="6" t="s">
        <v>69</v>
      </c>
      <c r="B61" s="52">
        <f>B33</f>
        <v>1251.1578947368421</v>
      </c>
    </row>
    <row r="62" ht="15.75" customHeight="1">
      <c r="A62" s="6" t="s">
        <v>152</v>
      </c>
      <c r="B62" s="52">
        <f ca="1">MAX(0,B56-B57-B58-B59-B60-B61)</f>
        <v>9.5721052631579369</v>
      </c>
    </row>
    <row r="64" ht="15.75" customHeight="1">
      <c r="A64" s="55" t="s">
        <v>153</v>
      </c>
      <c r="B64" s="56"/>
    </row>
    <row r="65" ht="15.75" customHeight="1">
      <c r="A65" s="57" t="s">
        <v>154</v>
      </c>
      <c r="B65" s="57" t="str">
        <f>IF('Retirement Planning'!B6&lt;'Retirement Planning'!B8,"⚠️ YES — $"&amp;TEXT(('Retirement Planning'!B22-'Retirement Planning'!B21)/12,"#,##0")&amp;"/mo uncaptured","✅ Full match captured")</f>
        <v xml:space="preserve">⚠️ YES — $45/mo uncaptured</v>
      </c>
    </row>
    <row r="66" ht="15.75" customHeight="1">
      <c r="A66" s="57" t="s">
        <v>155</v>
      </c>
      <c r="B66" s="58">
        <f>IF('Retirement Planning'!B6&lt;'Retirement Planning'!B8,ROUND(('Retirement Planning'!B22-'Retirement Planning'!B21)*(1-Assumptions!B3)/12,0),0)</f>
        <v>25</v>
      </c>
    </row>
    <row r="67" ht="15.75" customHeight="1">
      <c r="A67" s="57" t="s">
        <v>156</v>
      </c>
      <c r="B67" s="59">
        <f ca="1">MAX(0,B62-B66)</f>
        <v>0</v>
      </c>
    </row>
    <row r="68" ht="15.75" customHeight="1">
      <c r="A68" s="57" t="s">
        <v>157</v>
      </c>
      <c r="B68" s="57" t="str">
        <f ca="1">IF('Retirement Planning'!B6&gt;='Retirement Planning'!B8,"✅ Already at match cap",IF(B67&gt;0,"✅ YES — savings stay positive",IF(B62&gt;B66,"⚠️ Tight but doable","❌ Not yet — savings would go negative")))</f>
        <v xml:space="preserve">❌ Not yet — savings would go negative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B2008F-0030-4554-AF6D-007700190038}">
            <xm:f>ISNUMBER(SEARCH("current",B7))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B7:B8</xm:sqref>
        </x14:conditionalFormatting>
        <x14:conditionalFormatting xmlns:xm="http://schemas.microsoft.com/office/excel/2006/main">
          <x14:cfRule type="expression" priority="6" id="{008B00B3-00A7-4211-BE97-00EC00C900FD}">
            <xm:f>ISNUMBER(SEARCH("NOT",B7))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B7:B8</xm:sqref>
        </x14:conditionalFormatting>
        <x14:conditionalFormatting xmlns:xm="http://schemas.microsoft.com/office/excel/2006/main">
          <x14:cfRule type="cellIs" priority="18" operator="greaterThan" id="{006B0061-00DF-443A-85AD-0088000B007D}">
            <xm:f>3</xm:f>
            <x14:dxf>
              <font>
                <b/>
                <i val="0"/>
                <color indexed="2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B8</xm:sqref>
        </x14:conditionalFormatting>
        <x14:conditionalFormatting xmlns:xm="http://schemas.microsoft.com/office/excel/2006/main">
          <x14:cfRule type="cellIs" priority="1" operator="lessThan" id="{00FF004F-0083-41C7-AB6A-00120035005D}">
            <xm:f>1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B19 B21:B27</xm:sqref>
        </x14:conditionalFormatting>
        <x14:conditionalFormatting xmlns:xm="http://schemas.microsoft.com/office/excel/2006/main">
          <x14:cfRule type="cellIs" priority="2" operator="between" id="{00F400A4-0092-47F6-9A21-000200C6009D}">
            <xm:f>1</xm:f>
            <xm:f>200</xm:f>
            <x14:dxf>
              <fill>
                <patternFill patternType="solid">
                  <fgColor rgb="FFFCE8B2"/>
                  <bgColor rgb="FFFCE8B2"/>
                </patternFill>
              </fill>
            </x14:dxf>
          </x14:cfRule>
          <xm:sqref>B19 B21:B27</xm:sqref>
        </x14:conditionalFormatting>
        <x14:conditionalFormatting xmlns:xm="http://schemas.microsoft.com/office/excel/2006/main">
          <x14:cfRule type="cellIs" priority="3" operator="greaterThan" id="{00B400F8-0047-4F37-8997-00940090005B}">
            <xm:f>200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B19 B21:B27</xm:sqref>
        </x14:conditionalFormatting>
        <x14:conditionalFormatting xmlns:xm="http://schemas.microsoft.com/office/excel/2006/main">
          <x14:cfRule type="expression" priority="4" id="{00BC00F8-005C-465F-9BAE-00FB00800052}">
            <xm:f>B19&gt;500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7" id="{002A0057-0091-4C8D-ACEE-0042000A0091}">
            <xm:f>AND(B19&gt;=100,B19&lt;=500)</xm:f>
            <x14:dxf>
              <fill>
                <patternFill patternType="solid">
                  <fgColor rgb="FFFCE8B2"/>
                  <bgColor rgb="FFFCE8B2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" id="{00470042-00C0-42EB-B8BA-001C00590057}">
            <xm:f>B19&lt;100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9" id="{0070003C-00AC-491D-B138-00B400D60050}">
            <xm:f>B26&lt;&gt;""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0" id="{00240048-00F4-4993-A1EB-00FC0037002C}">
            <xm:f>B27="GREEN"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B27</xm:sqref>
        </x14:conditionalFormatting>
        <x14:conditionalFormatting xmlns:xm="http://schemas.microsoft.com/office/excel/2006/main">
          <x14:cfRule type="expression" priority="11" id="{007300B6-00D3-451B-A005-007C008A00FE}">
            <xm:f>B27="YELLOW"</xm:f>
            <x14:dxf>
              <fill>
                <patternFill patternType="solid">
                  <fgColor rgb="FFFCE8B2"/>
                  <bgColor rgb="FFFCE8B2"/>
                </patternFill>
              </fill>
            </x14:dxf>
          </x14:cfRule>
          <xm:sqref>B27</xm:sqref>
        </x14:conditionalFormatting>
        <x14:conditionalFormatting xmlns:xm="http://schemas.microsoft.com/office/excel/2006/main">
          <x14:cfRule type="expression" priority="12" id="{00E3005F-0003-4E92-AB6E-00C100D2002D}">
            <xm:f>B27="RED"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B27</xm:sqref>
        </x14:conditionalFormatting>
        <x14:conditionalFormatting xmlns:xm="http://schemas.microsoft.com/office/excel/2006/main">
          <x14:cfRule type="expression" priority="13" id="{00EC0066-00A7-49BF-932E-006B001300D9}">
            <xm:f>TRUE</xm:f>
            <x14:dxf>
              <fill>
                <patternFill patternType="solid">
                  <fgColor rgb="FFD0E0F0"/>
                  <bgColor rgb="FFD0E0F0"/>
                </patternFill>
              </fill>
            </x14:dxf>
          </x14:cfRule>
          <xm:sqref>B33</xm:sqref>
        </x14:conditionalFormatting>
        <x14:conditionalFormatting xmlns:xm="http://schemas.microsoft.com/office/excel/2006/main">
          <x14:cfRule type="expression" priority="16" id="{00560097-00C0-4057-AF94-0078006300DF}">
            <xm:f>B50=0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B50</xm:sqref>
        </x14:conditionalFormatting>
        <x14:conditionalFormatting xmlns:xm="http://schemas.microsoft.com/office/excel/2006/main">
          <x14:cfRule type="expression" priority="17" id="{001400D9-0098-47E7-8FA9-00E20013004B}">
            <xm:f>AND(B50&gt;0,B50&lt;100)</xm:f>
            <x14:dxf>
              <fill>
                <patternFill patternType="solid">
                  <fgColor rgb="FFFCE8B2"/>
                  <bgColor rgb="FFFCE8B2"/>
                </patternFill>
              </fill>
            </x14:dxf>
          </x14:cfRule>
          <xm:sqref>B50</xm:sqref>
        </x14:conditionalFormatting>
        <x14:conditionalFormatting xmlns:xm="http://schemas.microsoft.com/office/excel/2006/main">
          <x14:cfRule type="expression" priority="14" id="{007600E0-008C-479D-80F2-002C009A006B}">
            <xm:f>B62&gt;0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B62</xm:sqref>
        </x14:conditionalFormatting>
        <x14:conditionalFormatting xmlns:xm="http://schemas.microsoft.com/office/excel/2006/main">
          <x14:cfRule type="expression" priority="15" id="{00D2004B-00D3-4EF3-844D-006D004B009F}">
            <xm:f>B62&lt;=0</xm:f>
            <x14:dxf>
              <fill>
                <patternFill patternType="solid">
                  <fgColor rgb="FFF4C7C3"/>
                  <bgColor rgb="FFF4C7C3"/>
                </patternFill>
              </fill>
            </x14:dxf>
          </x14:cfRule>
          <xm:sqref>B62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3" workbookViewId="0">
      <selection activeCell="B15" activeCellId="0" sqref="B15"/>
    </sheetView>
  </sheetViews>
  <sheetFormatPr defaultRowHeight="12.75"/>
  <cols>
    <col customWidth="1" min="1" max="1" style="60" width="34.28515625"/>
    <col customWidth="1" min="2" max="3" style="60" width="18.5703125"/>
    <col customWidth="1" min="4" max="5" width="18.5703125"/>
    <col customWidth="1" min="6" max="6" width="20"/>
    <col customWidth="1" min="7" max="7" width="18.5703125"/>
    <col customWidth="1" min="8" max="8" width="19.42578125"/>
    <col min="10" max="10" style="60" width="8.85546875"/>
  </cols>
  <sheetData>
    <row r="1" ht="22.149999999999999" customHeight="1">
      <c r="A1" s="61" t="s">
        <v>158</v>
      </c>
      <c r="B1" s="62"/>
      <c r="C1" s="62"/>
      <c r="D1" s="62"/>
      <c r="E1" s="62"/>
      <c r="F1" s="62"/>
      <c r="G1" s="62"/>
      <c r="H1" s="62"/>
    </row>
    <row r="2" ht="16.149999999999999" customHeight="1">
      <c r="A2" s="63" t="s">
        <v>159</v>
      </c>
      <c r="B2" s="62"/>
      <c r="C2" s="62"/>
      <c r="D2" s="62"/>
      <c r="E2" s="62"/>
      <c r="F2" s="62"/>
      <c r="G2" s="62"/>
      <c r="H2" s="62"/>
      <c r="J2"/>
    </row>
    <row r="3" ht="7.9000000000000004" customHeight="1">
      <c r="A3" s="62"/>
      <c r="B3" s="62"/>
      <c r="C3" s="62"/>
      <c r="D3" s="62"/>
      <c r="E3" s="62"/>
      <c r="F3" s="62"/>
      <c r="G3" s="62"/>
      <c r="H3" s="62"/>
      <c r="J3"/>
    </row>
    <row r="4" ht="18" customHeight="1">
      <c r="A4" s="64" t="s">
        <v>160</v>
      </c>
      <c r="B4" s="65"/>
      <c r="C4" s="65"/>
      <c r="D4" s="65"/>
      <c r="E4" s="65"/>
      <c r="F4" s="62"/>
      <c r="G4" s="62"/>
      <c r="H4" s="62"/>
      <c r="J4"/>
    </row>
    <row r="5" ht="16.149999999999999" customHeight="1">
      <c r="A5" s="66" t="s">
        <v>161</v>
      </c>
      <c r="B5" s="67">
        <f>Assumptions!B6</f>
        <v>700</v>
      </c>
      <c r="C5" s="62"/>
      <c r="D5" s="66" t="s">
        <v>162</v>
      </c>
      <c r="E5" s="67">
        <f>Assumptions!B7</f>
        <v>6000</v>
      </c>
      <c r="F5" s="62"/>
      <c r="G5" s="62"/>
      <c r="H5" s="62"/>
      <c r="J5"/>
    </row>
    <row r="6" ht="16.149999999999999" customHeight="1">
      <c r="A6" s="66" t="s">
        <v>163</v>
      </c>
      <c r="B6" s="68">
        <v>1424.02</v>
      </c>
      <c r="C6" s="62"/>
      <c r="D6" s="66" t="s">
        <v>164</v>
      </c>
      <c r="E6" s="68">
        <v>611.95000000000005</v>
      </c>
      <c r="F6" s="62"/>
      <c r="G6" s="62"/>
      <c r="H6" s="62"/>
      <c r="J6"/>
    </row>
    <row r="7" ht="16.149999999999999" customHeight="1">
      <c r="A7" s="66" t="s">
        <v>165</v>
      </c>
      <c r="B7" s="69">
        <v>0.65000000000000002</v>
      </c>
      <c r="C7" s="62"/>
      <c r="D7" s="66" t="s">
        <v>166</v>
      </c>
      <c r="E7" s="70">
        <v>0.042000000000000003</v>
      </c>
      <c r="F7" s="62"/>
      <c r="G7" s="62"/>
      <c r="H7" s="62"/>
      <c r="J7"/>
    </row>
    <row r="8" ht="16.149999999999999" customHeight="1">
      <c r="A8" s="66" t="s">
        <v>167</v>
      </c>
      <c r="B8" s="71">
        <f>Assumptions!B3</f>
        <v>0.435</v>
      </c>
      <c r="C8" s="62"/>
      <c r="D8" s="62"/>
      <c r="E8" s="62"/>
      <c r="F8" s="62"/>
      <c r="G8" s="62"/>
      <c r="H8" s="62"/>
      <c r="J8"/>
    </row>
    <row r="9" ht="7.9000000000000004" customHeight="1">
      <c r="A9" s="62"/>
      <c r="B9" s="62"/>
      <c r="C9" s="62"/>
      <c r="D9" s="62"/>
      <c r="E9" s="62"/>
      <c r="F9" s="62"/>
      <c r="G9" s="62"/>
      <c r="H9" s="62"/>
      <c r="J9"/>
    </row>
    <row r="10" ht="22.149999999999999" customHeight="1">
      <c r="A10" s="72" t="s">
        <v>168</v>
      </c>
      <c r="B10" s="72" t="s">
        <v>169</v>
      </c>
      <c r="C10" s="72" t="s">
        <v>170</v>
      </c>
      <c r="D10" s="72" t="s">
        <v>171</v>
      </c>
      <c r="E10" s="72" t="s">
        <v>172</v>
      </c>
      <c r="F10" s="72" t="s">
        <v>173</v>
      </c>
      <c r="G10" s="72" t="s">
        <v>174</v>
      </c>
      <c r="H10" s="72" t="s">
        <v>175</v>
      </c>
      <c r="J10"/>
    </row>
    <row r="11" ht="19.899999999999999" customHeight="1">
      <c r="A11" s="73">
        <v>45992</v>
      </c>
      <c r="B11" s="74">
        <v>890</v>
      </c>
      <c r="C11" s="74">
        <v>0</v>
      </c>
      <c r="D11" s="75">
        <f>IF($A11="","",IF(OR($B11="",$B11=0),0,MAX(0,MIN($B11,349.93)-0)*0.3705+MAX(0,MIN($B11,489.93)-349.93)*0.9634+MAX(0,MIN($B11,Assumptions!$B$6-0.07)-489.93)*5.5212+MAX(0,$B11-(Assumptions!$B$6-0.07))*0.65))</f>
        <v>1547.5225649999998</v>
      </c>
      <c r="E11" s="75">
        <f>IF($A11="","",IF(OR($C11="",$C11=0),0,MAX(0,MIN($C11,2999.4)-0)*0.0204+MAX(0,MIN($C11,4199.4)-2999.4)*0.0388+MAX(0,MIN($C11,Assumptions!$B$7-0.6)-4199.4)*0.2801+MAX(0,$C11-(Assumptions!$B$7-0.6))*0.042))</f>
        <v>0</v>
      </c>
      <c r="F11" s="75">
        <f t="shared" ref="F11:F22" si="16">IF($A11="","",D11+E11)</f>
        <v>1547.5225649999998</v>
      </c>
      <c r="G11" s="75">
        <f t="shared" ref="G11:G22" si="17">IF($A11="","",F11*(1-$B$8))</f>
        <v>874.35024922499974</v>
      </c>
      <c r="H11" s="76">
        <f>IF($A11="","",DATE(YEAR($A11),MONTH($A11)+1,Assumptions!$B$5))</f>
        <v>46044</v>
      </c>
      <c r="J11"/>
    </row>
    <row r="12" ht="19.899999999999999" customHeight="1">
      <c r="A12" s="77">
        <v>46023</v>
      </c>
      <c r="B12" s="78">
        <v>0</v>
      </c>
      <c r="C12" s="78">
        <v>0</v>
      </c>
      <c r="D12" s="79">
        <f>IF($A12="","",IF(OR($B12="",$B12=0),0,MAX(0,MIN($B12,349.93)-0)*0.3705+MAX(0,MIN($B12,489.93)-349.93)*0.9634+MAX(0,MIN($B12,Assumptions!$B$6-0.07)-489.93)*5.5212+MAX(0,$B12-(Assumptions!$B$6-0.07))*0.65))</f>
        <v>0</v>
      </c>
      <c r="E12" s="79">
        <f>IF($A12="","",IF(OR($C12="",$C12=0),0,MAX(0,MIN($C12,2999.4)-0)*0.0204+MAX(0,MIN($C12,4199.4)-2999.4)*0.0388+MAX(0,MIN($C12,Assumptions!$B$7-0.6)-4199.4)*0.2801+MAX(0,$C12-(Assumptions!$B$7-0.6))*0.042))</f>
        <v>0</v>
      </c>
      <c r="F12" s="79">
        <f t="shared" si="16"/>
        <v>0</v>
      </c>
      <c r="G12" s="79">
        <f t="shared" si="17"/>
        <v>0</v>
      </c>
      <c r="H12" s="80">
        <f>IF($A12="","",DATE(YEAR($A12),MONTH($A12)+1,Assumptions!$B$5))</f>
        <v>46075</v>
      </c>
      <c r="J12"/>
    </row>
    <row r="13" ht="19.899999999999999" customHeight="1">
      <c r="A13" s="77">
        <v>46054</v>
      </c>
      <c r="B13" s="78">
        <v>245</v>
      </c>
      <c r="C13" s="78">
        <v>0</v>
      </c>
      <c r="D13" s="79">
        <f>IF($A13="","",IF(OR($B13="",$B13=0),0,MAX(0,MIN($B13,349.93)-0)*0.3705+MAX(0,MIN($B13,489.93)-349.93)*0.9634+MAX(0,MIN($B13,Assumptions!$B$6-0.07)-489.93)*5.5212+MAX(0,$B13-(Assumptions!$B$6-0.07))*0.65))</f>
        <v>90.772499999999994</v>
      </c>
      <c r="E13" s="79">
        <f>IF($A13="","",IF(OR($C13="",$C13=0),0,MAX(0,MIN($C13,2999.4)-0)*0.0204+MAX(0,MIN($C13,4199.4)-2999.4)*0.0388+MAX(0,MIN($C13,Assumptions!$B$7-0.6)-4199.4)*0.2801+MAX(0,$C13-(Assumptions!$B$7-0.6))*0.042))</f>
        <v>0</v>
      </c>
      <c r="F13" s="79">
        <f t="shared" si="16"/>
        <v>90.772499999999994</v>
      </c>
      <c r="G13" s="79">
        <f t="shared" si="17"/>
        <v>51.286462499999992</v>
      </c>
      <c r="H13" s="80">
        <f>IF($A13="","",DATE(YEAR($A13),MONTH($A13)+1,Assumptions!$B$5))</f>
        <v>46103</v>
      </c>
    </row>
    <row r="14" ht="19.899999999999999" customHeight="1">
      <c r="A14" s="77">
        <v>46082</v>
      </c>
      <c r="B14" s="78">
        <v>0</v>
      </c>
      <c r="C14" s="78">
        <v>0</v>
      </c>
      <c r="D14" s="79">
        <f>IF($A14="","",IF(OR($B14="",$B14=0),0,MAX(0,MIN($B14,349.93)-0)*0.3705+MAX(0,MIN($B14,489.93)-349.93)*0.9634+MAX(0,MIN($B14,Assumptions!$B$6-0.07)-489.93)*5.5212+MAX(0,$B14-(Assumptions!$B$6-0.07))*0.65))</f>
        <v>0</v>
      </c>
      <c r="E14" s="79">
        <f>IF($A14="","",IF(OR($C14="",$C14=0),0,MAX(0,MIN($C14,2999.4)-0)*0.0204+MAX(0,MIN($C14,4199.4)-2999.4)*0.0388+MAX(0,MIN($C14,Assumptions!$B$7-0.6)-4199.4)*0.2801+MAX(0,$C14-(Assumptions!$B$7-0.6))*0.042))</f>
        <v>0</v>
      </c>
      <c r="F14" s="79">
        <f t="shared" si="16"/>
        <v>0</v>
      </c>
      <c r="G14" s="79">
        <f t="shared" si="17"/>
        <v>0</v>
      </c>
      <c r="H14" s="80">
        <f>IF($A14="","",DATE(YEAR($A14),MONTH($A14)+1,Assumptions!$B$5))</f>
        <v>46134</v>
      </c>
    </row>
    <row r="15" ht="19.899999999999999" customHeight="1">
      <c r="A15" s="77">
        <v>46113</v>
      </c>
      <c r="B15" s="78">
        <v>0</v>
      </c>
      <c r="C15" s="78">
        <v>0</v>
      </c>
      <c r="D15" s="79">
        <f>IF($A15="","",IF(OR($B15="",$B15=0),0,MAX(0,MIN($B15,349.93)-0)*0.3705+MAX(0,MIN($B15,489.93)-349.93)*0.9634+MAX(0,MIN($B15,Assumptions!$B$6-0.07)-489.93)*5.5212+MAX(0,$B15-(Assumptions!$B$6-0.07))*0.65))</f>
        <v>0</v>
      </c>
      <c r="E15" s="79">
        <f>IF($A15="","",IF(OR($C15="",$C15=0),0,MAX(0,MIN($C15,2999.4)-0)*0.0204+MAX(0,MIN($C15,4199.4)-2999.4)*0.0388+MAX(0,MIN($C15,Assumptions!$B$7-0.6)-4199.4)*0.2801+MAX(0,$C15-(Assumptions!$B$7-0.6))*0.042))</f>
        <v>0</v>
      </c>
      <c r="F15" s="79">
        <f t="shared" si="16"/>
        <v>0</v>
      </c>
      <c r="G15" s="79">
        <f t="shared" si="17"/>
        <v>0</v>
      </c>
      <c r="H15" s="80">
        <f>IF($A15="","",DATE(YEAR($A15),MONTH($A15)+1,Assumptions!$B$5))</f>
        <v>46164</v>
      </c>
    </row>
    <row r="16" ht="19.899999999999999" customHeight="1">
      <c r="A16" s="77"/>
      <c r="B16" s="78"/>
      <c r="C16" s="78"/>
      <c r="D16" s="79" t="str">
        <f>IF($A16="","",IF(OR($B16="",$B16=0),0,MAX(0,MIN($B16,349.93)-0)*0.3705+MAX(0,MIN($B16,489.93)-349.93)*0.9634+MAX(0,MIN($B16,Assumptions!$B$6-0.07)-489.93)*5.5212+MAX(0,$B16-(Assumptions!$B$6-0.07))*0.65))</f>
        <v/>
      </c>
      <c r="E16" s="79" t="str">
        <f>IF($A16="","",IF(OR($C16="",$C16=0),0,MAX(0,MIN($C16,2999.4)-0)*0.0204+MAX(0,MIN($C16,4199.4)-2999.4)*0.0388+MAX(0,MIN($C16,Assumptions!$B$7-0.6)-4199.4)*0.2801+MAX(0,$C16-(Assumptions!$B$7-0.6))*0.042))</f>
        <v/>
      </c>
      <c r="F16" s="79" t="str">
        <f t="shared" si="16"/>
        <v/>
      </c>
      <c r="G16" s="79" t="str">
        <f t="shared" si="17"/>
        <v/>
      </c>
      <c r="H16" s="80" t="str">
        <f>IF($A16="","",DATE(YEAR($A16),MONTH($A16)+1,Assumptions!$B$5))</f>
        <v/>
      </c>
    </row>
    <row r="17" ht="19.899999999999999" customHeight="1">
      <c r="A17" s="77"/>
      <c r="B17" s="78"/>
      <c r="C17" s="78"/>
      <c r="D17" s="79" t="str">
        <f>IF($A17="","",IF(OR($B17="",$B17=0),0,MAX(0,MIN($B17,349.93)-0)*0.3705+MAX(0,MIN($B17,489.93)-349.93)*0.9634+MAX(0,MIN($B17,Assumptions!$B$6-0.07)-489.93)*5.5212+MAX(0,$B17-(Assumptions!$B$6-0.07))*0.65))</f>
        <v/>
      </c>
      <c r="E17" s="79" t="str">
        <f>IF($A17="","",IF(OR($C17="",$C17=0),0,MAX(0,MIN($C17,2999.4)-0)*0.0204+MAX(0,MIN($C17,4199.4)-2999.4)*0.0388+MAX(0,MIN($C17,Assumptions!$B$7-0.6)-4199.4)*0.2801+MAX(0,$C17-(Assumptions!$B$7-0.6))*0.042))</f>
        <v/>
      </c>
      <c r="F17" s="79" t="str">
        <f t="shared" si="16"/>
        <v/>
      </c>
      <c r="G17" s="79" t="str">
        <f t="shared" si="17"/>
        <v/>
      </c>
      <c r="H17" s="80" t="str">
        <f>IF($A17="","",DATE(YEAR($A17),MONTH($A17)+1,Assumptions!$B$5))</f>
        <v/>
      </c>
    </row>
    <row r="18" ht="19.899999999999999" customHeight="1">
      <c r="A18" s="77"/>
      <c r="B18" s="78"/>
      <c r="C18" s="78"/>
      <c r="D18" s="79" t="str">
        <f>IF($A18="","",IF(OR($B18="",$B18=0),0,MAX(0,MIN($B18,349.93)-0)*0.3705+MAX(0,MIN($B18,489.93)-349.93)*0.9634+MAX(0,MIN($B18,Assumptions!$B$6-0.07)-489.93)*5.5212+MAX(0,$B18-(Assumptions!$B$6-0.07))*0.65))</f>
        <v/>
      </c>
      <c r="E18" s="79" t="str">
        <f>IF($A18="","",IF(OR($C18="",$C18=0),0,MAX(0,MIN($C18,2999.4)-0)*0.0204+MAX(0,MIN($C18,4199.4)-2999.4)*0.0388+MAX(0,MIN($C18,Assumptions!$B$7-0.6)-4199.4)*0.2801+MAX(0,$C18-(Assumptions!$B$7-0.6))*0.042))</f>
        <v/>
      </c>
      <c r="F18" s="79" t="str">
        <f t="shared" si="16"/>
        <v/>
      </c>
      <c r="G18" s="79" t="str">
        <f t="shared" si="17"/>
        <v/>
      </c>
      <c r="H18" s="80" t="str">
        <f>IF($A18="","",DATE(YEAR($A18),MONTH($A18)+1,Assumptions!$B$5))</f>
        <v/>
      </c>
    </row>
    <row r="19" ht="19.899999999999999" customHeight="1">
      <c r="A19" s="77"/>
      <c r="B19" s="78"/>
      <c r="C19" s="78"/>
      <c r="D19" s="79" t="str">
        <f>IF($A19="","",IF(OR($B19="",$B19=0),0,MAX(0,MIN($B19,349.93)-0)*0.3705+MAX(0,MIN($B19,489.93)-349.93)*0.9634+MAX(0,MIN($B19,Assumptions!$B$6-0.07)-489.93)*5.5212+MAX(0,$B19-(Assumptions!$B$6-0.07))*0.65))</f>
        <v/>
      </c>
      <c r="E19" s="79" t="str">
        <f>IF($A19="","",IF(OR($C19="",$C19=0),0,MAX(0,MIN($C19,2999.4)-0)*0.0204+MAX(0,MIN($C19,4199.4)-2999.4)*0.0388+MAX(0,MIN($C19,Assumptions!$B$7-0.6)-4199.4)*0.2801+MAX(0,$C19-(Assumptions!$B$7-0.6))*0.042))</f>
        <v/>
      </c>
      <c r="F19" s="79" t="str">
        <f t="shared" si="16"/>
        <v/>
      </c>
      <c r="G19" s="79" t="str">
        <f t="shared" si="17"/>
        <v/>
      </c>
      <c r="H19" s="80" t="str">
        <f>IF($A19="","",DATE(YEAR($A19),MONTH($A19)+1,Assumptions!$B$5))</f>
        <v/>
      </c>
    </row>
    <row r="20" ht="19.899999999999999" customHeight="1">
      <c r="A20" s="77"/>
      <c r="B20" s="78"/>
      <c r="C20" s="78"/>
      <c r="D20" s="79" t="str">
        <f>IF($A20="","",IF(OR($B20="",$B20=0),0,MAX(0,MIN($B20,349.93)-0)*0.3705+MAX(0,MIN($B20,489.93)-349.93)*0.9634+MAX(0,MIN($B20,Assumptions!$B$6-0.07)-489.93)*5.5212+MAX(0,$B20-(Assumptions!$B$6-0.07))*0.65))</f>
        <v/>
      </c>
      <c r="E20" s="79" t="str">
        <f>IF($A20="","",IF(OR($C20="",$C20=0),0,MAX(0,MIN($C20,2999.4)-0)*0.0204+MAX(0,MIN($C20,4199.4)-2999.4)*0.0388+MAX(0,MIN($C20,Assumptions!$B$7-0.6)-4199.4)*0.2801+MAX(0,$C20-(Assumptions!$B$7-0.6))*0.042))</f>
        <v/>
      </c>
      <c r="F20" s="79" t="str">
        <f t="shared" si="16"/>
        <v/>
      </c>
      <c r="G20" s="79" t="str">
        <f t="shared" si="17"/>
        <v/>
      </c>
      <c r="H20" s="80" t="str">
        <f>IF($A20="","",DATE(YEAR($A20),MONTH($A20)+1,Assumptions!$B$5))</f>
        <v/>
      </c>
    </row>
    <row r="21" ht="19.899999999999999" customHeight="1">
      <c r="A21" s="77"/>
      <c r="B21" s="78"/>
      <c r="C21" s="78"/>
      <c r="D21" s="79" t="str">
        <f>IF($A21="","",IF(OR($B21="",$B21=0),0,MAX(0,MIN($B21,349.93)-0)*0.3705+MAX(0,MIN($B21,489.93)-349.93)*0.9634+MAX(0,MIN($B21,Assumptions!$B$6-0.07)-489.93)*5.5212+MAX(0,$B21-(Assumptions!$B$6-0.07))*0.65))</f>
        <v/>
      </c>
      <c r="E21" s="79" t="str">
        <f>IF($A21="","",IF(OR($C21="",$C21=0),0,MAX(0,MIN($C21,2999.4)-0)*0.0204+MAX(0,MIN($C21,4199.4)-2999.4)*0.0388+MAX(0,MIN($C21,Assumptions!$B$7-0.6)-4199.4)*0.2801+MAX(0,$C21-(Assumptions!$B$7-0.6))*0.042))</f>
        <v/>
      </c>
      <c r="F21" s="79" t="str">
        <f t="shared" si="16"/>
        <v/>
      </c>
      <c r="G21" s="79" t="str">
        <f t="shared" si="17"/>
        <v/>
      </c>
      <c r="H21" s="80" t="str">
        <f>IF($A21="","",DATE(YEAR($A21),MONTH($A21)+1,Assumptions!$B$5))</f>
        <v/>
      </c>
    </row>
    <row r="22" ht="19.899999999999999" customHeight="1">
      <c r="A22" s="81"/>
      <c r="B22" s="82"/>
      <c r="C22" s="82"/>
      <c r="D22" s="83" t="str">
        <f>IF($A22="","",IF(OR($B22="",$B22=0),0,MAX(0,MIN($B22,349.93)-0)*0.3705+MAX(0,MIN($B22,489.93)-349.93)*0.9634+MAX(0,MIN($B22,Assumptions!$B$6-0.07)-489.93)*5.5212+MAX(0,$B22-(Assumptions!$B$6-0.07))*0.65))</f>
        <v/>
      </c>
      <c r="E22" s="83" t="str">
        <f>IF($A22="","",IF(OR($C22="",$C22=0),0,MAX(0,MIN($C22,2999.4)-0)*0.0204+MAX(0,MIN($C22,4199.4)-2999.4)*0.0388+MAX(0,MIN($C22,Assumptions!$B$7-0.6)-4199.4)*0.2801+MAX(0,$C22-(Assumptions!$B$7-0.6))*0.042))</f>
        <v/>
      </c>
      <c r="F22" s="83" t="str">
        <f t="shared" si="16"/>
        <v/>
      </c>
      <c r="G22" s="83" t="str">
        <f t="shared" si="17"/>
        <v/>
      </c>
      <c r="H22" s="84" t="str">
        <f>IF($A22="","",DATE(YEAR($A22),MONTH($A22)+1,Assumptions!$B$5))</f>
        <v/>
      </c>
    </row>
    <row r="23" ht="7.9000000000000004" customHeight="1">
      <c r="A23" s="85"/>
      <c r="B23" s="85"/>
      <c r="C23" s="85"/>
      <c r="D23" s="62"/>
      <c r="E23" s="62"/>
      <c r="F23" s="62"/>
      <c r="G23" s="62"/>
      <c r="H23" s="62"/>
    </row>
    <row r="24" ht="18" customHeight="1">
      <c r="A24" s="86" t="s">
        <v>176</v>
      </c>
      <c r="B24" s="87"/>
      <c r="C24" s="85"/>
      <c r="D24" s="62"/>
      <c r="E24" s="62"/>
      <c r="F24" s="62"/>
      <c r="G24" s="62"/>
      <c r="H24" s="62"/>
    </row>
    <row r="25" ht="19.899999999999999" customHeight="1">
      <c r="A25" s="88" t="s">
        <v>177</v>
      </c>
      <c r="B25" s="89" cm="1">
        <f t="array" ref="B25">IFERROR(AVERAGE(_xlfn._xlws.FILTER(G11:G22,(A11:A22&lt;&gt;"")*(ISNUMBER(G11:G22)))),0)</f>
        <v>185.12734234499993</v>
      </c>
      <c r="C25" s="85"/>
      <c r="D25" s="62"/>
      <c r="E25" s="62"/>
      <c r="F25" s="62"/>
      <c r="G25" s="62"/>
      <c r="H25" s="62"/>
    </row>
    <row r="26" ht="19.899999999999999" customHeight="1">
      <c r="A26" s="88" t="s">
        <v>178</v>
      </c>
      <c r="B26" s="85" t="str" cm="1">
        <f t="array" ref="B26">IF(SUMPRODUCT((A11:A22&lt;&gt;"")*(IF(ISNUMBER(G11:G22),G11:G22&lt;50,FALSE)))&gt;=2,"⚠️ DROUGHT RISK","✅ OK")</f>
        <v xml:space="preserve">⚠️ DROUGHT RISK</v>
      </c>
      <c r="C26" s="85"/>
      <c r="D26" s="62"/>
      <c r="E26" s="62"/>
      <c r="F26" s="62"/>
      <c r="G26" s="62"/>
      <c r="H26" s="62"/>
    </row>
    <row r="27" ht="19.899999999999999" customHeight="1">
      <c r="A27" s="88" t="s">
        <v>179</v>
      </c>
      <c r="B27" s="89" cm="1">
        <f t="array" ref="B27">SUMPRODUCT((A11:A22&lt;&gt;"")*(A11:A22&gt;=DATE(YEAR(TODAY()),1,1))*(A11:A22&lt;=DATE(YEAR(TODAY()),12,31))*IF(ISNUMBER(G11:G22),G11:G22,0))</f>
        <v>51.286462499999992</v>
      </c>
      <c r="C27" s="85"/>
      <c r="D27" s="62"/>
      <c r="E27" s="62"/>
      <c r="F27" s="62"/>
      <c r="G27" s="62"/>
      <c r="H27" s="62"/>
    </row>
    <row r="28">
      <c r="A28"/>
      <c r="B28"/>
      <c r="C28"/>
    </row>
    <row r="29">
      <c r="A29"/>
      <c r="B29"/>
      <c r="C29"/>
    </row>
    <row r="30">
      <c r="A30"/>
      <c r="B30"/>
      <c r="C30"/>
    </row>
    <row r="31">
      <c r="A31"/>
      <c r="B31"/>
      <c r="C31"/>
    </row>
    <row r="32">
      <c r="A32"/>
      <c r="B32"/>
      <c r="C32"/>
    </row>
    <row r="33">
      <c r="A33"/>
      <c r="B33"/>
      <c r="C33"/>
    </row>
    <row r="34">
      <c r="A34"/>
      <c r="B34"/>
      <c r="C34"/>
    </row>
    <row r="35">
      <c r="A35"/>
      <c r="B35"/>
      <c r="C35"/>
    </row>
    <row r="36">
      <c r="A36"/>
      <c r="B36"/>
      <c r="C36"/>
    </row>
    <row r="37">
      <c r="A37"/>
      <c r="B37"/>
      <c r="C37"/>
    </row>
    <row r="38">
      <c r="A38"/>
      <c r="B38"/>
      <c r="C38"/>
    </row>
    <row r="39">
      <c r="A39"/>
      <c r="B39"/>
      <c r="C39"/>
    </row>
    <row r="40">
      <c r="A40"/>
      <c r="B40"/>
      <c r="C40"/>
    </row>
    <row r="41">
      <c r="A41"/>
      <c r="B41"/>
      <c r="C41"/>
    </row>
    <row r="42">
      <c r="A42"/>
      <c r="B42"/>
      <c r="C42"/>
    </row>
    <row r="43">
      <c r="A43"/>
      <c r="B43"/>
      <c r="C43"/>
    </row>
    <row r="44">
      <c r="A44"/>
      <c r="B44"/>
      <c r="C44"/>
    </row>
    <row r="45">
      <c r="A45"/>
      <c r="B45"/>
      <c r="C45"/>
    </row>
    <row r="46">
      <c r="A46"/>
      <c r="B46"/>
      <c r="C46"/>
    </row>
    <row r="47">
      <c r="A47"/>
      <c r="B47"/>
      <c r="C47"/>
    </row>
    <row r="48">
      <c r="A48"/>
      <c r="B48"/>
      <c r="C48"/>
    </row>
    <row r="49">
      <c r="A49"/>
      <c r="B49"/>
      <c r="C49"/>
    </row>
    <row r="50">
      <c r="A50"/>
      <c r="B50"/>
      <c r="C50"/>
    </row>
    <row r="51">
      <c r="F51" s="15"/>
    </row>
    <row r="52">
      <c r="F52" s="15"/>
    </row>
    <row r="53">
      <c r="F53" s="15"/>
    </row>
    <row r="54">
      <c r="F54" s="15"/>
    </row>
    <row r="55">
      <c r="F55" s="15"/>
    </row>
    <row r="56">
      <c r="F56" s="15"/>
    </row>
    <row r="57">
      <c r="F57" s="15"/>
    </row>
    <row r="58">
      <c r="F58" s="15"/>
    </row>
    <row r="59">
      <c r="F59" s="15"/>
    </row>
    <row r="60">
      <c r="F60" s="15"/>
    </row>
    <row r="61">
      <c r="F61" s="15"/>
    </row>
    <row r="62">
      <c r="F62" s="15"/>
    </row>
    <row r="63">
      <c r="F63" s="15"/>
    </row>
    <row r="64">
      <c r="F64" s="15"/>
    </row>
    <row r="65">
      <c r="F65" s="15"/>
    </row>
    <row r="66">
      <c r="F66" s="15"/>
    </row>
    <row r="67">
      <c r="F67" s="15"/>
    </row>
    <row r="68">
      <c r="F68" s="15"/>
    </row>
    <row r="69">
      <c r="F69" s="15"/>
    </row>
    <row r="70">
      <c r="F70" s="15"/>
    </row>
    <row r="71">
      <c r="F71" s="15"/>
    </row>
    <row r="72">
      <c r="F72" s="15"/>
    </row>
    <row r="73">
      <c r="F73" s="15"/>
    </row>
    <row r="74">
      <c r="F74" s="15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</sheetData>
  <sheetProtection autoFilter="1" deleteColumns="1" deleteRows="1" formatCells="1" formatColumns="1" formatRows="1" insertColumns="1" insertHyperlinks="1" insertRows="1" pivotTables="1" selectLockedCells="1" selectUnlockedCells="0" sheet="0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C16" activeCellId="0" sqref="C16"/>
    </sheetView>
  </sheetViews>
  <sheetFormatPr defaultRowHeight="13.15"/>
  <cols>
    <col customWidth="1" min="1" max="1" width="37"/>
    <col customWidth="1" min="2" max="5" width="23.140625"/>
  </cols>
  <sheetData>
    <row r="1" ht="18">
      <c r="A1" s="90" t="s">
        <v>180</v>
      </c>
      <c r="B1" s="62"/>
      <c r="C1" s="62"/>
      <c r="D1" s="62"/>
      <c r="E1" s="62"/>
    </row>
    <row r="2" ht="13.9">
      <c r="A2" s="63" t="s">
        <v>181</v>
      </c>
      <c r="B2" s="62"/>
      <c r="C2" s="62"/>
      <c r="D2" s="62"/>
      <c r="E2" s="62"/>
    </row>
    <row r="3" ht="6" customHeight="1">
      <c r="A3" s="62"/>
      <c r="B3" s="62"/>
      <c r="C3" s="62"/>
      <c r="D3" s="62"/>
      <c r="E3" s="62"/>
    </row>
    <row r="4" ht="13.9">
      <c r="A4" s="64" t="s">
        <v>182</v>
      </c>
      <c r="B4" s="65"/>
      <c r="C4" s="65"/>
      <c r="D4" s="65"/>
      <c r="E4" s="65"/>
    </row>
    <row r="5" ht="13.9">
      <c r="A5" s="66" t="s">
        <v>183</v>
      </c>
      <c r="B5" s="91">
        <f>'Wealth Management 2026'!$B$4</f>
        <v>12500</v>
      </c>
      <c r="C5" s="62"/>
      <c r="D5" s="62"/>
      <c r="E5" s="62"/>
    </row>
    <row r="6" ht="13.9">
      <c r="A6" s="66" t="s">
        <v>184</v>
      </c>
      <c r="B6" s="92">
        <f ca="1">Dashboard!$B$21</f>
        <v>57.071428571428569</v>
      </c>
      <c r="C6" s="62"/>
      <c r="D6" s="62"/>
      <c r="E6" s="62"/>
    </row>
    <row r="7" ht="13.9">
      <c r="A7" s="66" t="s">
        <v>185</v>
      </c>
      <c r="B7" s="91">
        <f>Dashboard!$B$57</f>
        <v>1523.95</v>
      </c>
      <c r="C7" s="62"/>
      <c r="D7" s="62"/>
      <c r="E7" s="62"/>
    </row>
    <row r="8" ht="13.9">
      <c r="A8" s="66" t="s">
        <v>135</v>
      </c>
      <c r="B8" s="91">
        <f>Dashboard!$B$43</f>
        <v>600</v>
      </c>
      <c r="C8" s="93"/>
      <c r="D8" s="62"/>
      <c r="E8" s="62"/>
    </row>
    <row r="9" ht="13.9">
      <c r="A9" s="66" t="s">
        <v>186</v>
      </c>
      <c r="B9" s="91">
        <f>Assumptions!$B$10</f>
        <v>3220</v>
      </c>
      <c r="C9" s="93"/>
      <c r="D9" s="62"/>
      <c r="E9" s="62"/>
    </row>
    <row r="10" ht="6" customHeight="1">
      <c r="A10" s="62"/>
      <c r="B10" s="62"/>
      <c r="C10" s="62"/>
      <c r="D10" s="62"/>
      <c r="E10" s="62"/>
    </row>
    <row r="11" ht="24" customHeight="1">
      <c r="A11" s="94" t="s">
        <v>187</v>
      </c>
      <c r="B11" s="94" t="s">
        <v>188</v>
      </c>
      <c r="C11" s="94" t="s">
        <v>189</v>
      </c>
      <c r="D11" s="94" t="s">
        <v>190</v>
      </c>
      <c r="E11" s="94" t="s">
        <v>191</v>
      </c>
    </row>
    <row r="12" ht="22.149999999999999" customHeight="1">
      <c r="A12" s="66" t="s">
        <v>192</v>
      </c>
      <c r="B12" s="95" t="s">
        <v>193</v>
      </c>
      <c r="C12" s="96" t="s">
        <v>194</v>
      </c>
      <c r="D12" s="97"/>
      <c r="E12" s="97"/>
    </row>
    <row r="13" ht="16.149999999999999" customHeight="1">
      <c r="A13" s="98" t="s">
        <v>195</v>
      </c>
      <c r="B13" s="62"/>
      <c r="C13" s="99"/>
      <c r="D13" s="62"/>
      <c r="E13" s="62"/>
    </row>
    <row r="14" ht="19.899999999999999" customHeight="1">
      <c r="A14" s="100" t="s">
        <v>196</v>
      </c>
      <c r="B14" s="101">
        <v>22124</v>
      </c>
      <c r="C14" s="101">
        <v>19721</v>
      </c>
      <c r="D14" s="101"/>
      <c r="E14" s="101"/>
    </row>
    <row r="15" ht="19.899999999999999" customHeight="1">
      <c r="A15" s="102" t="s">
        <v>197</v>
      </c>
      <c r="B15" s="78">
        <v>4000</v>
      </c>
      <c r="C15" s="78">
        <v>4000</v>
      </c>
      <c r="D15" s="78"/>
      <c r="E15" s="78"/>
    </row>
    <row r="16" ht="19.899999999999999" customHeight="1">
      <c r="A16" s="102" t="s">
        <v>198</v>
      </c>
      <c r="B16" s="103">
        <v>0.047399999999999998</v>
      </c>
      <c r="C16" s="103">
        <v>0.047399999999999998</v>
      </c>
      <c r="D16" s="103"/>
      <c r="E16" s="103"/>
    </row>
    <row r="17" ht="19.899999999999999" customHeight="1">
      <c r="A17" s="102" t="s">
        <v>199</v>
      </c>
      <c r="B17" s="104">
        <v>60</v>
      </c>
      <c r="C17" s="104">
        <v>60</v>
      </c>
      <c r="D17" s="104"/>
      <c r="E17" s="104"/>
    </row>
    <row r="18" ht="19.899999999999999" customHeight="1">
      <c r="A18" s="102" t="s">
        <v>200</v>
      </c>
      <c r="B18" s="78">
        <v>165</v>
      </c>
      <c r="C18" s="78">
        <v>155</v>
      </c>
      <c r="D18" s="78"/>
      <c r="E18" s="78"/>
    </row>
    <row r="19" ht="19.899999999999999" customHeight="1">
      <c r="A19" s="105" t="s">
        <v>201</v>
      </c>
      <c r="B19" s="106"/>
      <c r="C19" s="107"/>
      <c r="D19" s="106"/>
      <c r="E19" s="106"/>
    </row>
    <row r="20" ht="16.149999999999999" customHeight="1">
      <c r="A20" s="98" t="s">
        <v>202</v>
      </c>
      <c r="B20" s="62"/>
      <c r="C20" s="108"/>
      <c r="D20" s="62"/>
      <c r="E20" s="62"/>
    </row>
    <row r="21" ht="19.899999999999999" customHeight="1">
      <c r="A21" s="100" t="s">
        <v>203</v>
      </c>
      <c r="B21" s="109">
        <f>IF(B14="","",IF(OR(B16="",B16=0,B17="",B17=0),0,PMT(B16/12,B17,-(B14-IF(B15="",0,B15)))))</f>
        <v>339.86755572525942</v>
      </c>
      <c r="C21" s="109">
        <f>IF(C14="","",IF(OR(C16="",C16=0,C17="",C17=0),0,PMT(C16/12,C17,-(C14-IF(C15="",0,C15)))))</f>
        <v>294.80566340525286</v>
      </c>
      <c r="D21" s="109" t="str">
        <f>IF(D14="","",IF(OR(D16="",D16=0,D17="",D17=0),0,PMT(D16/12,D17,-(D14-IF(D15="",0,D15)))))</f>
        <v/>
      </c>
      <c r="E21" s="109" t="str">
        <f>IF(E14="","",IF(OR(E16="",E16=0,E17="",E17=0),0,PMT(E16/12,E17,-(E14-IF(E15="",0,E15)))))</f>
        <v/>
      </c>
    </row>
    <row r="22" ht="19.899999999999999" customHeight="1">
      <c r="A22" s="102" t="s">
        <v>204</v>
      </c>
      <c r="B22" s="79">
        <f>IF(B14="",IF(B19="","",B19/12),IF(B21="","",B21+IF(B18="",0,B18)))</f>
        <v>504.86755572525942</v>
      </c>
      <c r="C22" s="79">
        <f>IF(C14="",IF(C19="","",C19/12),IF(C21="","",C21+IF(C18="",0,C18)))</f>
        <v>449.80566340525286</v>
      </c>
      <c r="D22" s="79" t="str">
        <f>IF(D14="",IF(D19="","",D19/12),IF(D21="","",D21+IF(D18="",0,D18)))</f>
        <v/>
      </c>
      <c r="E22" s="79" t="str">
        <f>IF(E14="",IF(E19="","",E19/12),IF(E21="","",E21+IF(E18="",0,E18)))</f>
        <v/>
      </c>
    </row>
    <row r="23" ht="19.899999999999999" customHeight="1">
      <c r="A23" s="102" t="s">
        <v>205</v>
      </c>
      <c r="B23" s="79">
        <f>IF(B22="","",B22/30.4)</f>
        <v>16.607485385699324</v>
      </c>
      <c r="C23" s="79">
        <f>IF(C22="","",C22/30.4)</f>
        <v>14.796238927804371</v>
      </c>
      <c r="D23" s="79" t="str">
        <f>IF(D22="","",D22/30.4)</f>
        <v/>
      </c>
      <c r="E23" s="79" t="str">
        <f>IF(E22="","",E22/30.4)</f>
        <v/>
      </c>
    </row>
    <row r="24" ht="19.899999999999999" customHeight="1">
      <c r="A24" s="110" t="s">
        <v>206</v>
      </c>
      <c r="B24" s="111">
        <f ca="1">IF(B23="","",B6-B23)</f>
        <v>40.463943185729249</v>
      </c>
      <c r="C24" s="111">
        <f ca="1">IF(C23="","",B6-C23)</f>
        <v>42.275189643624202</v>
      </c>
      <c r="D24" s="111" t="str">
        <f>IF(D23="","",B6-D23)</f>
        <v/>
      </c>
      <c r="E24" s="111" t="str">
        <f>IF(E23="","",B6-E23)</f>
        <v/>
      </c>
    </row>
    <row r="25" ht="19.899999999999999" customHeight="1">
      <c r="A25" s="102" t="s">
        <v>12</v>
      </c>
      <c r="B25" s="112">
        <f>IF(B22="","",IF(B14="",B19,B22*12))</f>
        <v>6058.4106687031126</v>
      </c>
      <c r="C25" s="112">
        <f>IF(C22="","",IF(C14="",C19,C22*12))</f>
        <v>5397.6679608630348</v>
      </c>
      <c r="D25" s="112" t="str">
        <f>IF(D22="","",IF(D14="",D19,D22*12))</f>
        <v/>
      </c>
      <c r="E25" s="112" t="str">
        <f>IF(E22="","",IF(E14="",E19,E22*12))</f>
        <v/>
      </c>
    </row>
    <row r="26" ht="19.899999999999999" customHeight="1">
      <c r="A26" s="102" t="s">
        <v>207</v>
      </c>
      <c r="B26" s="112">
        <f>IF(B14="","",IF(B17="",0,(B21*B17-(B14-IF(B15="",0,B15)))+IF(IF(B15="",0,B15)=0,0,FV(Assumptions!$B$12/12,120,0,-IF(B15="",0,B15)))))</f>
        <v>10306.698850298093</v>
      </c>
      <c r="C26" s="112">
        <f>IF(C14="","",IF(C17="",0,(C21*C17-(C14-IF(C15="",0,C15)))+IF(IF(C15="",0,C15)=0,0,FV(Assumptions!$B$12/12,120,0,-IF(C15="",0,C15)))))</f>
        <v>10005.985311097698</v>
      </c>
      <c r="D26" s="112" t="str">
        <f>IF(D14="","",IF(D17="",0,(D21*D17-(D14-IF(D15="",0,D15)))+IF(IF(D15="",0,D15)=0,0,FV(Assumptions!$B$12/12,120,0,-IF(D15="",0,D15)))))</f>
        <v/>
      </c>
      <c r="E26" s="112" t="str">
        <f>IF(E14="","",IF(E17="",0,(E21*E17-(E14-IF(E15="",0,E15)))+IF(IF(E15="",0,E15)=0,0,FV(Assumptions!$B$12/12,120,0,-IF(E15="",0,E15)))))</f>
        <v/>
      </c>
    </row>
    <row r="27" ht="19.899999999999999" customHeight="1">
      <c r="A27" s="102" t="s">
        <v>208</v>
      </c>
      <c r="B27" s="112">
        <f>IF(B14="",IF(B19="","",B5-B19),B5-IF(B15="",0,B15))</f>
        <v>8500</v>
      </c>
      <c r="C27" s="112">
        <f>IF(C14="",IF(C19="","",B5-C19),B5-IF(C15="",0,C15))</f>
        <v>8500</v>
      </c>
      <c r="D27" s="112" t="str">
        <f>IF(D14="",IF(D19="","",B5-D19),B5-IF(D15="",0,D15))</f>
        <v/>
      </c>
      <c r="E27" s="112" t="str">
        <f>IF(E14="",IF(E19="","",B5-E19),B5-IF(E15="",0,E15))</f>
        <v/>
      </c>
    </row>
    <row r="28" ht="19.899999999999999" customHeight="1">
      <c r="A28" s="102" t="s">
        <v>209</v>
      </c>
      <c r="B28" s="113">
        <f>IF(B22="","",IF(B22=0,"∞",ROUND(B27/B22,1)))</f>
        <v>16.800000000000001</v>
      </c>
      <c r="C28" s="113">
        <f>IF(C22="","",IF(C22=0,"∞",ROUND(C27/C22,1)))</f>
        <v>18.899999999999999</v>
      </c>
      <c r="D28" s="113" t="str">
        <f>IF(D22="","",IF(D22=0,"∞",ROUND(D27/D22,1)))</f>
        <v/>
      </c>
      <c r="E28" s="113" t="str">
        <f>IF(E22="","",IF(E22=0,"∞",ROUND(E27/E22,1)))</f>
        <v/>
      </c>
    </row>
    <row r="29" ht="19.899999999999999" customHeight="1">
      <c r="A29" s="110" t="s">
        <v>157</v>
      </c>
      <c r="B29" s="114" t="str">
        <f>IF(B22="","",IF(B9-(B7+B22)&gt;B8,"✅ Yes",IF(B9-(B7+B22)&gt;0,"⚠️ Tight","❌ No")))</f>
        <v xml:space="preserve">✅ Yes</v>
      </c>
      <c r="C29" s="114" t="str">
        <f>IF(C22="","",IF(B9-(B7+C22)&gt;B8,"✅ Yes",IF(B9-(B7+C22)&gt;0,"⚠️ Tight","❌ No")))</f>
        <v xml:space="preserve">✅ Yes</v>
      </c>
      <c r="D29" s="114" t="str">
        <f>IF(D22="","",IF(B9-(B7+D22)&gt;B8,"✅ Yes",IF(B9-(B7+D22)&gt;0,"⚠️ Tight","❌ No")))</f>
        <v/>
      </c>
      <c r="E29" s="114" t="str">
        <f>IF(E22="","",IF(B9-(B7+E22)&gt;B8,"✅ Yes",IF(B9-(B7+E22)&gt;0,"⚠️ Tight","❌ No")))</f>
        <v/>
      </c>
    </row>
    <row r="30" ht="19.899999999999999" customHeight="1">
      <c r="A30" s="105" t="s">
        <v>210</v>
      </c>
      <c r="B30" s="115">
        <f>IF(B25="","",B25/(B9*12))</f>
        <v>0.15679116637430415</v>
      </c>
      <c r="C30" s="115">
        <f>IF(C25="","",C25/(B9*12))</f>
        <v>0.13969119981529593</v>
      </c>
      <c r="D30" s="115" t="str">
        <f>IF(D25="","",D25/(B9*12))</f>
        <v/>
      </c>
      <c r="E30" s="115" t="str">
        <f>IF(E25="","",E25/(B9*12))</f>
        <v/>
      </c>
    </row>
    <row r="31" ht="6" customHeight="1">
      <c r="A31" s="62"/>
      <c r="B31" s="62"/>
      <c r="C31" s="62"/>
      <c r="D31" s="62"/>
      <c r="E31" s="62"/>
    </row>
    <row r="32" ht="24" customHeight="1">
      <c r="A32" s="116" t="s">
        <v>211</v>
      </c>
      <c r="B32" s="116"/>
      <c r="C32" s="116"/>
      <c r="D32" s="116"/>
      <c r="E32" s="116"/>
    </row>
    <row r="33" ht="19.899999999999999" customHeight="1">
      <c r="A33" s="117" t="s">
        <v>212</v>
      </c>
      <c r="B33" s="91">
        <f>Dashboard!B6</f>
        <v>2152</v>
      </c>
      <c r="C33" s="62"/>
      <c r="D33" s="62"/>
      <c r="E33" s="62"/>
    </row>
    <row r="34" ht="19.899999999999999" customHeight="1">
      <c r="A34" s="117" t="s">
        <v>213</v>
      </c>
      <c r="B34" s="91">
        <f>'Wealth Management 2026'!B20</f>
        <v>15000</v>
      </c>
      <c r="C34" s="62"/>
      <c r="D34" s="62"/>
      <c r="E34" s="62"/>
    </row>
    <row r="35" ht="19.899999999999999" customHeight="1">
      <c r="A35" s="117" t="s">
        <v>214</v>
      </c>
      <c r="B35" s="118">
        <f>B33+B34</f>
        <v>17152</v>
      </c>
      <c r="C35" s="62"/>
      <c r="D35" s="62"/>
      <c r="E35" s="62"/>
    </row>
    <row r="36" ht="19.899999999999999" customHeight="1">
      <c r="A36" s="117" t="s">
        <v>215</v>
      </c>
      <c r="B36" s="119">
        <f>Dashboard!B57</f>
        <v>1523.95</v>
      </c>
      <c r="C36" s="62"/>
      <c r="D36" s="62"/>
      <c r="E36" s="62"/>
    </row>
    <row r="37" ht="19.899999999999999" customHeight="1">
      <c r="A37" s="117" t="s">
        <v>216</v>
      </c>
      <c r="B37" s="120">
        <f>Dashboard!B43</f>
        <v>600</v>
      </c>
      <c r="C37" s="62"/>
      <c r="D37" s="62"/>
      <c r="E37" s="62"/>
    </row>
    <row r="38" ht="19.899999999999999" customHeight="1">
      <c r="A38" s="117" t="s">
        <v>217</v>
      </c>
      <c r="B38" s="119">
        <f>B36+B37</f>
        <v>2123.9499999999998</v>
      </c>
      <c r="C38" s="62"/>
      <c r="D38" s="62"/>
      <c r="E38" s="62"/>
    </row>
    <row r="39" ht="19.899999999999999" customHeight="1">
      <c r="A39" s="117" t="s">
        <v>218</v>
      </c>
      <c r="B39" s="120">
        <f>Assumptions!B10</f>
        <v>3220</v>
      </c>
      <c r="C39" s="62"/>
      <c r="D39" s="62"/>
      <c r="E39" s="62"/>
    </row>
    <row r="40" ht="19.899999999999999" customHeight="1">
      <c r="A40" s="121" t="s">
        <v>219</v>
      </c>
      <c r="B40" s="122">
        <f>MAX(0,B38-B39)</f>
        <v>0</v>
      </c>
      <c r="C40" s="123"/>
      <c r="D40" s="123"/>
      <c r="E40" s="123"/>
    </row>
    <row r="41" ht="7.9000000000000004" customHeight="1">
      <c r="A41" s="62"/>
      <c r="B41" s="62"/>
      <c r="C41" s="62"/>
      <c r="D41" s="62"/>
      <c r="E41" s="62"/>
    </row>
    <row r="42" ht="25.899999999999999" customHeight="1">
      <c r="A42" s="124" t="s">
        <v>220</v>
      </c>
      <c r="B42" s="124" t="str">
        <f>IF(B40&lt;=0,"INDEFINITE — base pay covers burn",IF(B35/B40&gt;=12,TEXT(ROUND(B35/B40,1),"0.0")&amp;" months (over 1 year)",TEXT(ROUND(B35/B40,1),"0.0")&amp;" months"))</f>
        <v xml:space="preserve">INDEFINITE — base pay covers burn</v>
      </c>
      <c r="C42" s="125"/>
      <c r="D42" s="125"/>
      <c r="E42" s="125"/>
    </row>
    <row r="43" ht="13.9">
      <c r="A43" s="126" t="s">
        <v>221</v>
      </c>
      <c r="B43" s="127">
        <f>IF(B40=0,B39-B38,0)</f>
        <v>1096.0500000000002</v>
      </c>
      <c r="C43" s="128"/>
      <c r="D43" s="128"/>
      <c r="E43" s="128"/>
    </row>
    <row r="44" ht="6" customHeight="1">
      <c r="A44" s="62"/>
      <c r="B44" s="62"/>
      <c r="C44" s="62"/>
      <c r="D44" s="62"/>
      <c r="E44" s="62"/>
    </row>
    <row r="45" ht="24" customHeight="1">
      <c r="A45" s="116" t="s">
        <v>222</v>
      </c>
      <c r="B45" s="116"/>
      <c r="C45" s="116"/>
      <c r="D45" s="116"/>
      <c r="E45" s="116"/>
    </row>
    <row r="46" ht="18" customHeight="1">
      <c r="A46" s="63" t="s">
        <v>223</v>
      </c>
      <c r="B46" s="62"/>
      <c r="C46" s="62"/>
      <c r="D46" s="62"/>
      <c r="E46" s="62"/>
    </row>
    <row r="47" ht="19.899999999999999" customHeight="1">
      <c r="A47" s="117" t="s">
        <v>224</v>
      </c>
      <c r="B47" s="92">
        <f ca="1">Dashboard!B62</f>
        <v>9.5721052631579369</v>
      </c>
      <c r="C47" s="62"/>
      <c r="D47" s="62"/>
      <c r="E47" s="62"/>
    </row>
    <row r="48" ht="19.899999999999999" customHeight="1">
      <c r="A48" s="117" t="s">
        <v>185</v>
      </c>
      <c r="B48" s="92">
        <f>Dashboard!B57</f>
        <v>1523.95</v>
      </c>
      <c r="C48" s="62"/>
      <c r="D48" s="62"/>
      <c r="E48" s="62"/>
    </row>
    <row r="49" ht="19.899999999999999" customHeight="1">
      <c r="A49" s="117" t="s">
        <v>135</v>
      </c>
      <c r="B49" s="120">
        <f>Dashboard!B43</f>
        <v>600</v>
      </c>
      <c r="C49" s="62"/>
      <c r="D49" s="62"/>
      <c r="E49" s="62"/>
    </row>
    <row r="50" ht="19.899999999999999" customHeight="1">
      <c r="A50" s="117" t="s">
        <v>225</v>
      </c>
      <c r="B50" s="119">
        <f ca="1">B47+B48+B49</f>
        <v>2133.5221052631578</v>
      </c>
      <c r="C50" s="62"/>
      <c r="D50" s="62"/>
      <c r="E50" s="62"/>
    </row>
    <row r="51" ht="19.899999999999999" customHeight="1">
      <c r="A51" s="121" t="s">
        <v>226</v>
      </c>
      <c r="B51" s="129">
        <f>Assumptions!B36+Assumptions!B37</f>
        <v>0.16</v>
      </c>
      <c r="C51" s="123"/>
      <c r="D51" s="123"/>
      <c r="E51" s="123"/>
    </row>
    <row r="52" ht="7.9000000000000004" customHeight="1">
      <c r="A52" s="62"/>
      <c r="B52" s="62"/>
      <c r="C52" s="62"/>
      <c r="D52" s="62"/>
      <c r="E52" s="62"/>
    </row>
    <row r="53" ht="25.899999999999999" customHeight="1">
      <c r="A53" s="124" t="s">
        <v>227</v>
      </c>
      <c r="B53" s="130">
        <f ca="1">(B50*12)/(1-B51)</f>
        <v>30478.887218045111</v>
      </c>
      <c r="C53" s="125"/>
      <c r="D53" s="125"/>
      <c r="E53" s="125"/>
    </row>
    <row r="54" ht="13.9">
      <c r="A54" s="126" t="s">
        <v>228</v>
      </c>
      <c r="B54" s="131">
        <f ca="1">B53/12</f>
        <v>2539.9072681704261</v>
      </c>
      <c r="C54" s="128"/>
      <c r="D54" s="128"/>
      <c r="E54" s="128"/>
    </row>
    <row r="55" ht="13.9">
      <c r="A55" s="62"/>
      <c r="B55" s="62"/>
      <c r="C55" s="62"/>
      <c r="D55" s="62"/>
      <c r="E55" s="62"/>
    </row>
    <row r="56" ht="13.9">
      <c r="A56" s="62"/>
      <c r="B56" s="62"/>
      <c r="C56" s="62"/>
      <c r="D56" s="62"/>
      <c r="E56" s="62"/>
    </row>
    <row r="57" ht="13.9">
      <c r="A57" s="62"/>
      <c r="B57" s="62"/>
      <c r="C57" s="62"/>
      <c r="D57" s="62"/>
      <c r="E57" s="62"/>
    </row>
    <row r="58" ht="13.9">
      <c r="A58" s="62"/>
      <c r="B58" s="62"/>
      <c r="C58" s="62"/>
      <c r="D58" s="62"/>
      <c r="E58" s="62"/>
    </row>
    <row r="59" ht="13.9">
      <c r="A59" s="62"/>
      <c r="B59" s="62"/>
      <c r="C59" s="62"/>
      <c r="D59" s="62"/>
      <c r="E59" s="62"/>
    </row>
    <row r="60" ht="13.9">
      <c r="A60" s="62"/>
      <c r="B60" s="62"/>
      <c r="C60" s="62"/>
      <c r="D60" s="62"/>
      <c r="E60" s="62"/>
    </row>
    <row r="61" ht="13.9">
      <c r="A61" s="62"/>
      <c r="B61" s="62"/>
      <c r="C61" s="62"/>
      <c r="D61" s="62"/>
      <c r="E61" s="62"/>
    </row>
    <row r="62" ht="13.9">
      <c r="A62" s="62"/>
      <c r="B62" s="62"/>
      <c r="C62" s="62"/>
      <c r="D62" s="62"/>
      <c r="E62" s="62"/>
    </row>
    <row r="63" ht="13.9">
      <c r="A63" s="62"/>
      <c r="B63" s="62"/>
      <c r="C63" s="62"/>
      <c r="D63" s="62"/>
      <c r="E63" s="62"/>
    </row>
    <row r="64" ht="13.9">
      <c r="A64" s="62"/>
      <c r="B64" s="62"/>
      <c r="C64" s="62"/>
      <c r="D64" s="62"/>
      <c r="E64" s="62"/>
    </row>
    <row r="65" ht="13.9">
      <c r="A65" s="62"/>
      <c r="B65" s="62"/>
      <c r="C65" s="62"/>
      <c r="D65" s="62"/>
      <c r="E65" s="62"/>
    </row>
    <row r="66" ht="13.9">
      <c r="A66" s="62"/>
      <c r="B66" s="62"/>
      <c r="C66" s="62"/>
      <c r="D66" s="62"/>
      <c r="E66" s="62"/>
    </row>
    <row r="67" ht="13.9">
      <c r="A67" s="62"/>
      <c r="B67" s="62"/>
      <c r="C67" s="62"/>
      <c r="D67" s="62"/>
      <c r="E67" s="62"/>
    </row>
    <row r="68" ht="13.9">
      <c r="A68" s="62"/>
      <c r="B68" s="62"/>
      <c r="C68" s="62"/>
      <c r="D68" s="62"/>
      <c r="E68" s="62"/>
    </row>
    <row r="69" ht="13.9">
      <c r="A69" s="62"/>
      <c r="B69" s="62"/>
      <c r="C69" s="62"/>
      <c r="D69" s="62"/>
      <c r="E69" s="62"/>
    </row>
    <row r="70" ht="13.9">
      <c r="A70" s="62"/>
      <c r="B70" s="62"/>
      <c r="C70" s="62"/>
      <c r="D70" s="62"/>
      <c r="E70" s="62"/>
    </row>
    <row r="71" ht="13.9">
      <c r="A71" s="62"/>
      <c r="B71" s="62"/>
      <c r="C71" s="62"/>
      <c r="D71" s="62"/>
      <c r="E71" s="62"/>
    </row>
    <row r="72" ht="13.9">
      <c r="A72" s="62"/>
      <c r="B72" s="62"/>
      <c r="C72" s="62"/>
      <c r="D72" s="62"/>
      <c r="E72" s="62"/>
    </row>
    <row r="73" ht="13.9">
      <c r="A73" s="62"/>
      <c r="B73" s="62"/>
      <c r="C73" s="62"/>
      <c r="D73" s="62"/>
      <c r="E73" s="62"/>
    </row>
    <row r="74" ht="13.9">
      <c r="A74" s="62"/>
      <c r="B74" s="62"/>
      <c r="C74" s="62"/>
      <c r="D74" s="62"/>
      <c r="E74" s="62"/>
    </row>
    <row r="75" ht="13.9">
      <c r="A75" s="62"/>
      <c r="B75" s="62"/>
      <c r="C75" s="62"/>
      <c r="D75" s="62"/>
      <c r="E75" s="62"/>
    </row>
    <row r="76" ht="13.9">
      <c r="A76" s="62"/>
      <c r="B76" s="62"/>
      <c r="C76" s="62"/>
      <c r="D76" s="62"/>
      <c r="E76" s="62"/>
    </row>
    <row r="77" ht="13.9">
      <c r="A77" s="62"/>
      <c r="B77" s="62"/>
      <c r="C77" s="62"/>
      <c r="D77" s="62"/>
      <c r="E77" s="62"/>
    </row>
    <row r="78" ht="13.9">
      <c r="A78" s="62"/>
      <c r="B78" s="62"/>
      <c r="C78" s="62"/>
      <c r="D78" s="62"/>
      <c r="E78" s="62"/>
    </row>
    <row r="79" ht="13.9">
      <c r="A79" s="62"/>
      <c r="B79" s="62"/>
      <c r="C79" s="62"/>
      <c r="D79" s="62"/>
      <c r="E79" s="62"/>
    </row>
    <row r="80" ht="13.9">
      <c r="A80" s="62"/>
      <c r="B80" s="62"/>
      <c r="C80" s="62"/>
      <c r="D80" s="62"/>
      <c r="E80" s="6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3" topLeftCell="A4" activePane="bottomLeft" state="frozen"/>
      <selection activeCell="A40" activeCellId="0" sqref="A40"/>
    </sheetView>
  </sheetViews>
  <sheetFormatPr defaultRowHeight="13.15"/>
  <cols>
    <col customWidth="1" min="1" max="1" width="31.42578125"/>
    <col customWidth="1" min="2" max="2" width="16.7109375"/>
    <col customWidth="1" min="3" max="3" width="17.5703125"/>
    <col customWidth="1" min="4" max="4" width="14.7109375"/>
    <col customWidth="1" min="5" max="5" width="15.7109375"/>
    <col customWidth="1" min="6" max="6" width="18.5703125"/>
    <col customWidth="1" min="7" max="7" width="15.7109375"/>
    <col customWidth="1" min="8" max="9" width="18.5703125"/>
    <col customWidth="1" min="10" max="10" width="17.5703125"/>
    <col customWidth="1" min="11" max="11" width="23"/>
    <col bestFit="1" customWidth="1" min="12" max="12" width="30.85546875"/>
    <col bestFit="1" customWidth="1" min="13" max="13" width="12.5703125"/>
  </cols>
  <sheetData>
    <row r="1" ht="30" customHeight="1">
      <c r="A1" s="90" t="s">
        <v>229</v>
      </c>
      <c r="B1" s="62"/>
      <c r="C1" s="62"/>
      <c r="D1" s="62"/>
      <c r="E1" s="62"/>
      <c r="F1" s="62"/>
      <c r="G1" s="62"/>
      <c r="H1" s="62"/>
      <c r="I1" s="62"/>
      <c r="J1" s="62"/>
    </row>
    <row r="2" ht="15" customHeight="1">
      <c r="A2" s="62"/>
      <c r="B2" s="62"/>
      <c r="C2" s="62"/>
      <c r="D2" s="62"/>
      <c r="E2" s="62"/>
      <c r="F2" s="62"/>
      <c r="G2" s="62"/>
      <c r="H2" s="62"/>
      <c r="I2" s="62"/>
      <c r="J2" s="62"/>
    </row>
    <row r="3" ht="25.149999999999999" customHeight="1">
      <c r="A3" s="132" t="s">
        <v>230</v>
      </c>
      <c r="B3" s="132" t="s">
        <v>231</v>
      </c>
      <c r="C3" s="132" t="s">
        <v>232</v>
      </c>
      <c r="D3" s="132" t="s">
        <v>233</v>
      </c>
      <c r="E3" s="132" t="s">
        <v>234</v>
      </c>
      <c r="F3" s="132" t="s">
        <v>235</v>
      </c>
      <c r="G3" s="132" t="s">
        <v>24</v>
      </c>
      <c r="H3" s="132" t="s">
        <v>236</v>
      </c>
      <c r="I3" s="132" t="s">
        <v>237</v>
      </c>
      <c r="J3" s="132" t="s">
        <v>238</v>
      </c>
    </row>
    <row r="4" ht="19.899999999999999" customHeight="1">
      <c r="A4" s="133" t="s">
        <v>239</v>
      </c>
      <c r="B4" s="134">
        <v>12500</v>
      </c>
      <c r="C4" s="135">
        <v>36073.349999999999</v>
      </c>
      <c r="D4" s="135">
        <v>1550</v>
      </c>
      <c r="E4" s="134">
        <v>0</v>
      </c>
      <c r="F4" s="118">
        <f t="shared" ref="F4:F15" si="18">IF(COUNTA(B4:E4)=0,"",SUM(B4:E4))</f>
        <v>50123.349999999999</v>
      </c>
      <c r="G4" s="134">
        <v>0</v>
      </c>
      <c r="H4" s="134">
        <v>30000</v>
      </c>
      <c r="I4" s="120">
        <f t="shared" ref="I4:I15" si="19">IF(COUNTA(G4:H4)=0,"",SUM(G4:H4))</f>
        <v>30000</v>
      </c>
      <c r="J4" s="136">
        <f t="shared" ref="J4:J15" si="20">IF(AND(F4="",I4=""),"",N(F4)-N(I4))</f>
        <v>20123.349999999999</v>
      </c>
    </row>
    <row r="5" ht="19.899999999999999" customHeight="1">
      <c r="A5" s="137" t="s">
        <v>240</v>
      </c>
      <c r="B5" s="78">
        <v>12500</v>
      </c>
      <c r="C5" s="138">
        <v>36073.349999999999</v>
      </c>
      <c r="D5" s="138">
        <v>1750</v>
      </c>
      <c r="E5" s="78">
        <v>0</v>
      </c>
      <c r="F5" s="139">
        <f t="shared" si="18"/>
        <v>50323.349999999999</v>
      </c>
      <c r="G5" s="78">
        <v>0</v>
      </c>
      <c r="H5" s="78">
        <v>30000</v>
      </c>
      <c r="I5" s="112">
        <f t="shared" si="19"/>
        <v>30000</v>
      </c>
      <c r="J5" s="140">
        <f t="shared" si="20"/>
        <v>20323.349999999999</v>
      </c>
    </row>
    <row r="6" ht="19.899999999999999" customHeight="1">
      <c r="A6" s="137" t="s">
        <v>241</v>
      </c>
      <c r="B6" s="78">
        <v>12600</v>
      </c>
      <c r="C6" s="138">
        <v>33962.449999999997</v>
      </c>
      <c r="D6" s="138">
        <v>1850.45</v>
      </c>
      <c r="E6" s="78">
        <v>0</v>
      </c>
      <c r="F6" s="139">
        <f t="shared" si="18"/>
        <v>48412.899999999994</v>
      </c>
      <c r="G6" s="78">
        <v>0</v>
      </c>
      <c r="H6" s="78">
        <v>30000</v>
      </c>
      <c r="I6" s="112">
        <f t="shared" si="19"/>
        <v>30000</v>
      </c>
      <c r="J6" s="140">
        <f t="shared" si="20"/>
        <v>18412.899999999994</v>
      </c>
    </row>
    <row r="7" ht="19.899999999999999" customHeight="1">
      <c r="A7" s="137" t="s">
        <v>242</v>
      </c>
      <c r="B7" s="78">
        <v>15000</v>
      </c>
      <c r="C7" s="138">
        <v>35500</v>
      </c>
      <c r="D7" s="138">
        <v>2200</v>
      </c>
      <c r="E7" s="78">
        <v>25000</v>
      </c>
      <c r="F7" s="139">
        <f t="shared" si="18"/>
        <v>77700</v>
      </c>
      <c r="G7" s="78">
        <v>18000</v>
      </c>
      <c r="H7" s="78">
        <v>30000</v>
      </c>
      <c r="I7" s="112">
        <f t="shared" si="19"/>
        <v>48000</v>
      </c>
      <c r="J7" s="140">
        <f t="shared" si="20"/>
        <v>29700</v>
      </c>
    </row>
    <row r="8" ht="19.899999999999999" customHeight="1">
      <c r="A8" s="137" t="s">
        <v>243</v>
      </c>
      <c r="B8" s="78"/>
      <c r="C8" s="138"/>
      <c r="D8" s="138"/>
      <c r="E8" s="78"/>
      <c r="F8" s="139" t="str">
        <f t="shared" si="18"/>
        <v/>
      </c>
      <c r="G8" s="78"/>
      <c r="H8" s="78"/>
      <c r="I8" s="112" t="str">
        <f t="shared" si="19"/>
        <v/>
      </c>
      <c r="J8" s="140" t="str">
        <f t="shared" si="20"/>
        <v/>
      </c>
    </row>
    <row r="9" ht="19.899999999999999" customHeight="1">
      <c r="A9" s="137" t="s">
        <v>244</v>
      </c>
      <c r="B9" s="78"/>
      <c r="C9" s="138"/>
      <c r="D9" s="138"/>
      <c r="E9" s="78"/>
      <c r="F9" s="139" t="str">
        <f t="shared" si="18"/>
        <v/>
      </c>
      <c r="G9" s="78"/>
      <c r="H9" s="78"/>
      <c r="I9" s="112" t="str">
        <f t="shared" si="19"/>
        <v/>
      </c>
      <c r="J9" s="140" t="str">
        <f t="shared" si="20"/>
        <v/>
      </c>
    </row>
    <row r="10" ht="19.899999999999999" customHeight="1">
      <c r="A10" s="137" t="s">
        <v>245</v>
      </c>
      <c r="B10" s="78"/>
      <c r="C10" s="138"/>
      <c r="D10" s="138"/>
      <c r="E10" s="78"/>
      <c r="F10" s="139" t="str">
        <f t="shared" si="18"/>
        <v/>
      </c>
      <c r="G10" s="78"/>
      <c r="H10" s="78"/>
      <c r="I10" s="112" t="str">
        <f t="shared" si="19"/>
        <v/>
      </c>
      <c r="J10" s="140" t="str">
        <f t="shared" si="20"/>
        <v/>
      </c>
    </row>
    <row r="11" ht="19.899999999999999" customHeight="1">
      <c r="A11" s="137" t="s">
        <v>246</v>
      </c>
      <c r="B11" s="78"/>
      <c r="C11" s="138"/>
      <c r="D11" s="138"/>
      <c r="E11" s="78"/>
      <c r="F11" s="139" t="str">
        <f t="shared" si="18"/>
        <v/>
      </c>
      <c r="G11" s="78"/>
      <c r="H11" s="78"/>
      <c r="I11" s="112" t="str">
        <f t="shared" si="19"/>
        <v/>
      </c>
      <c r="J11" s="140" t="str">
        <f t="shared" si="20"/>
        <v/>
      </c>
    </row>
    <row r="12" ht="19.899999999999999" customHeight="1">
      <c r="A12" s="137" t="s">
        <v>247</v>
      </c>
      <c r="B12" s="78"/>
      <c r="C12" s="138"/>
      <c r="D12" s="138"/>
      <c r="E12" s="78"/>
      <c r="F12" s="139" t="str">
        <f t="shared" si="18"/>
        <v/>
      </c>
      <c r="G12" s="78"/>
      <c r="H12" s="78"/>
      <c r="I12" s="112" t="str">
        <f t="shared" si="19"/>
        <v/>
      </c>
      <c r="J12" s="140" t="str">
        <f t="shared" si="20"/>
        <v/>
      </c>
    </row>
    <row r="13" ht="19.899999999999999" customHeight="1">
      <c r="A13" s="137" t="s">
        <v>248</v>
      </c>
      <c r="B13" s="78"/>
      <c r="C13" s="138"/>
      <c r="D13" s="138"/>
      <c r="E13" s="78"/>
      <c r="F13" s="139" t="str">
        <f t="shared" si="18"/>
        <v/>
      </c>
      <c r="G13" s="78"/>
      <c r="H13" s="78"/>
      <c r="I13" s="112" t="str">
        <f t="shared" si="19"/>
        <v/>
      </c>
      <c r="J13" s="140" t="str">
        <f t="shared" si="20"/>
        <v/>
      </c>
    </row>
    <row r="14" ht="19.899999999999999" customHeight="1">
      <c r="A14" s="137" t="s">
        <v>249</v>
      </c>
      <c r="B14" s="78"/>
      <c r="C14" s="138"/>
      <c r="D14" s="138"/>
      <c r="E14" s="78"/>
      <c r="F14" s="139" t="str">
        <f t="shared" si="18"/>
        <v/>
      </c>
      <c r="G14" s="78"/>
      <c r="H14" s="78"/>
      <c r="I14" s="112" t="str">
        <f t="shared" si="19"/>
        <v/>
      </c>
      <c r="J14" s="140" t="str">
        <f t="shared" si="20"/>
        <v/>
      </c>
    </row>
    <row r="15" ht="19.899999999999999" customHeight="1">
      <c r="A15" s="141" t="s">
        <v>250</v>
      </c>
      <c r="B15" s="82"/>
      <c r="C15" s="142"/>
      <c r="D15" s="142"/>
      <c r="E15" s="82"/>
      <c r="F15" s="143" t="str">
        <f t="shared" si="18"/>
        <v/>
      </c>
      <c r="G15" s="82"/>
      <c r="H15" s="82"/>
      <c r="I15" s="144" t="str">
        <f t="shared" si="19"/>
        <v/>
      </c>
      <c r="J15" s="145" t="str">
        <f t="shared" si="20"/>
        <v/>
      </c>
    </row>
    <row r="16" ht="25.149999999999999" customHeight="1">
      <c r="A16" s="146" t="s">
        <v>251</v>
      </c>
      <c r="B16" s="147"/>
      <c r="C16" s="147"/>
      <c r="D16" s="147"/>
      <c r="E16" s="147"/>
      <c r="F16" s="147"/>
      <c r="G16" s="147"/>
      <c r="H16" s="147"/>
      <c r="I16" s="147"/>
      <c r="J16" s="148" cm="1">
        <f t="array" ref="J16">IFERROR(LOOKUP(2,1/(J4:J15&lt;&gt;""),J4:J15)-J4,"")</f>
        <v>9576.6500000000015</v>
      </c>
    </row>
    <row r="17" ht="1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</row>
    <row r="18" ht="18" customHeight="1">
      <c r="A18" s="64" t="s">
        <v>252</v>
      </c>
      <c r="B18" s="65"/>
      <c r="C18" s="65"/>
      <c r="D18" s="65"/>
      <c r="E18" s="65"/>
      <c r="F18" s="62"/>
      <c r="G18" s="64" t="s">
        <v>253</v>
      </c>
      <c r="H18" s="65"/>
      <c r="I18" s="65"/>
      <c r="J18" s="65"/>
    </row>
    <row r="19" ht="18" customHeight="1">
      <c r="A19" s="149" t="s">
        <v>254</v>
      </c>
      <c r="B19" s="91">
        <f>Assumptions!B11</f>
        <v>15000</v>
      </c>
      <c r="C19" s="62"/>
      <c r="D19" s="62"/>
      <c r="E19" s="62"/>
      <c r="F19" s="62"/>
      <c r="G19" s="149" t="s">
        <v>255</v>
      </c>
      <c r="H19" s="150">
        <v>756</v>
      </c>
      <c r="I19" s="62"/>
      <c r="J19" s="62"/>
    </row>
    <row r="20" ht="18" customHeight="1">
      <c r="A20" s="149" t="s">
        <v>256</v>
      </c>
      <c r="B20" s="120" cm="1">
        <f t="array" ref="B20">LOOKUP(2,1/(B4:B15&lt;&gt;""),B4:B15)</f>
        <v>15000</v>
      </c>
      <c r="C20" s="62"/>
      <c r="D20" s="62"/>
      <c r="E20" s="62"/>
      <c r="F20" s="62"/>
      <c r="G20" s="149" t="s">
        <v>257</v>
      </c>
      <c r="H20" s="150">
        <v>754</v>
      </c>
      <c r="I20" s="62"/>
      <c r="J20" s="62"/>
    </row>
    <row r="21" ht="18" customHeight="1">
      <c r="A21" s="149" t="s">
        <v>258</v>
      </c>
      <c r="B21" s="120">
        <f>MAX(0,B19-B20)</f>
        <v>0</v>
      </c>
      <c r="C21" s="62"/>
      <c r="D21" s="62"/>
      <c r="E21" s="62"/>
      <c r="F21" s="62"/>
      <c r="G21" s="149" t="s">
        <v>259</v>
      </c>
      <c r="H21" s="150">
        <v>736</v>
      </c>
      <c r="I21" s="62"/>
      <c r="J21" s="62"/>
    </row>
    <row r="22" ht="18" customHeight="1">
      <c r="A22" s="149" t="s">
        <v>260</v>
      </c>
      <c r="B22" s="151">
        <f ca="1">IFERROR(B21/(Dashboard!$B$62*Assumptions!$B$14),"")</f>
        <v>0</v>
      </c>
      <c r="C22" s="62"/>
      <c r="D22" s="62"/>
      <c r="E22" s="62"/>
      <c r="F22" s="62"/>
      <c r="G22" s="149" t="s">
        <v>261</v>
      </c>
      <c r="H22" s="152">
        <f>MAX(H19:H21)-MIN(H19:H21)</f>
        <v>20</v>
      </c>
      <c r="I22" s="62"/>
      <c r="J22" s="62"/>
    </row>
    <row r="23" ht="15" customHeight="1">
      <c r="A23" s="62"/>
      <c r="B23" s="62"/>
      <c r="C23" s="62"/>
      <c r="D23" s="62"/>
      <c r="E23" s="62"/>
      <c r="F23" s="62"/>
      <c r="G23" s="149" t="s">
        <v>262</v>
      </c>
      <c r="H23" s="153">
        <v>46030</v>
      </c>
      <c r="I23" s="62"/>
      <c r="J23" s="62"/>
    </row>
    <row r="24" ht="18" customHeight="1">
      <c r="A24" s="64" t="s">
        <v>263</v>
      </c>
      <c r="B24" s="65"/>
      <c r="C24" s="65"/>
      <c r="D24" s="65"/>
      <c r="E24" s="65"/>
      <c r="F24" s="62"/>
      <c r="G24" s="64" t="s">
        <v>264</v>
      </c>
      <c r="H24" s="65"/>
      <c r="I24" s="65"/>
      <c r="J24" s="65"/>
    </row>
    <row r="25" ht="18" customHeight="1">
      <c r="A25" s="149" t="s">
        <v>265</v>
      </c>
      <c r="B25" s="92">
        <f ca="1">Dashboard!B54+Dashboard!B55</f>
        <v>3220</v>
      </c>
      <c r="C25" s="62"/>
      <c r="D25" s="62"/>
      <c r="E25" s="62"/>
      <c r="F25" s="62"/>
      <c r="G25" s="149" t="s">
        <v>266</v>
      </c>
      <c r="H25" s="154" t="s">
        <v>267</v>
      </c>
      <c r="I25" s="62"/>
      <c r="J25" s="62"/>
    </row>
    <row r="26" ht="18" customHeight="1">
      <c r="A26" s="149" t="s">
        <v>268</v>
      </c>
      <c r="B26" s="92">
        <f ca="1">Dashboard!B62</f>
        <v>9.5721052631579369</v>
      </c>
      <c r="C26" s="62"/>
      <c r="D26" s="62"/>
      <c r="E26" s="62"/>
      <c r="F26" s="62"/>
      <c r="G26" s="149" t="s">
        <v>269</v>
      </c>
      <c r="H26" s="154" t="str">
        <f>IF(H21=MIN(H19:H21),"TransUnion",IF(H20=MIN(H19:H21),"Equifax","Experian"))</f>
        <v>TransUnion</v>
      </c>
      <c r="I26" s="62"/>
      <c r="J26" s="62"/>
    </row>
    <row r="27" ht="18" customHeight="1">
      <c r="A27" s="149" t="s">
        <v>270</v>
      </c>
      <c r="B27" s="155">
        <f ca="1">IFERROR(B26/(Assumptions!B35/12),0)</f>
        <v>0.002127134502923986</v>
      </c>
      <c r="C27" s="62"/>
      <c r="D27" s="62"/>
      <c r="E27" s="62"/>
      <c r="F27" s="62"/>
      <c r="G27" s="149" t="s">
        <v>271</v>
      </c>
      <c r="H27" s="154" t="s">
        <v>272</v>
      </c>
      <c r="I27" s="62"/>
      <c r="J27" s="62"/>
    </row>
    <row r="28" ht="18" customHeight="1">
      <c r="A28" s="149" t="s">
        <v>273</v>
      </c>
      <c r="B28" s="156">
        <v>0.20000000000000001</v>
      </c>
      <c r="C28" s="62"/>
      <c r="D28" s="62"/>
      <c r="E28" s="62"/>
      <c r="F28" s="62"/>
      <c r="G28" s="149" t="s">
        <v>274</v>
      </c>
      <c r="H28" s="157">
        <v>46174</v>
      </c>
      <c r="I28" s="62"/>
      <c r="J28" s="62"/>
    </row>
    <row r="29" ht="18" customHeight="1">
      <c r="A29" s="149" t="s">
        <v>258</v>
      </c>
      <c r="B29" s="158">
        <f ca="1">IFERROR(B28-B27,"")</f>
        <v>0.19787286549707603</v>
      </c>
      <c r="C29" s="62"/>
      <c r="D29" s="62"/>
      <c r="E29" s="62"/>
      <c r="F29" s="62"/>
      <c r="G29" s="62"/>
      <c r="H29" s="62"/>
      <c r="I29" s="62"/>
      <c r="J29" s="62"/>
    </row>
    <row r="30" ht="1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</row>
    <row r="31" ht="24" customHeight="1">
      <c r="A31" s="116" t="s">
        <v>275</v>
      </c>
      <c r="B31" s="116"/>
      <c r="C31" s="116"/>
      <c r="D31" s="116"/>
      <c r="E31" s="116"/>
      <c r="F31" s="116"/>
      <c r="G31" s="116"/>
      <c r="H31" s="116"/>
      <c r="I31" s="116"/>
      <c r="J31" s="116"/>
    </row>
    <row r="32" ht="18" customHeight="1">
      <c r="A32" s="149" t="s">
        <v>276</v>
      </c>
      <c r="B32" s="91">
        <f>J4</f>
        <v>20123.349999999999</v>
      </c>
      <c r="C32" s="62"/>
      <c r="D32" s="62"/>
      <c r="E32" s="62"/>
      <c r="F32" s="62"/>
      <c r="G32" s="62"/>
      <c r="H32" s="62"/>
      <c r="I32" s="62"/>
      <c r="J32" s="62"/>
    </row>
    <row r="33" ht="18" customHeight="1">
      <c r="A33" s="149" t="s">
        <v>277</v>
      </c>
      <c r="B33" s="92">
        <f ca="1">B26</f>
        <v>9.5721052631579369</v>
      </c>
      <c r="C33" s="62"/>
      <c r="D33" s="62"/>
      <c r="E33" s="62"/>
      <c r="F33" s="62"/>
      <c r="G33" s="62"/>
      <c r="H33" s="62"/>
      <c r="I33" s="62"/>
      <c r="J33" s="62"/>
    </row>
    <row r="34" ht="18" customHeight="1">
      <c r="A34" s="149" t="s">
        <v>278</v>
      </c>
      <c r="B34" s="159">
        <f>Assumptions!B12</f>
        <v>0.070000000000000007</v>
      </c>
      <c r="C34" s="62"/>
      <c r="D34" s="62"/>
      <c r="E34" s="62"/>
      <c r="F34" s="62"/>
      <c r="G34" s="62"/>
      <c r="H34" s="62"/>
      <c r="I34" s="62"/>
      <c r="J34" s="62"/>
    </row>
    <row r="35" ht="18" customHeight="1">
      <c r="A35" s="160" t="s">
        <v>279</v>
      </c>
      <c r="B35" s="161">
        <v>30</v>
      </c>
      <c r="C35" s="123"/>
      <c r="D35" s="123"/>
      <c r="E35" s="123"/>
      <c r="F35" s="123"/>
      <c r="G35" s="123"/>
      <c r="H35" s="123"/>
      <c r="I35" s="123"/>
      <c r="J35" s="123"/>
    </row>
    <row r="36" ht="1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</row>
    <row r="37" ht="22.149999999999999" customHeight="1">
      <c r="A37" s="162" t="s">
        <v>280</v>
      </c>
      <c r="B37" s="163">
        <f ca="1">FV(B34/12,(35-B35)*12,-B33,-B32)</f>
        <v>29212.664058723836</v>
      </c>
      <c r="C37" s="62"/>
      <c r="D37" s="62"/>
      <c r="E37" s="62"/>
      <c r="F37" s="62"/>
      <c r="G37" s="62"/>
      <c r="H37" s="62"/>
      <c r="I37" s="62"/>
      <c r="J37" s="62"/>
    </row>
    <row r="38" ht="22.149999999999999" customHeight="1">
      <c r="A38" s="162" t="s">
        <v>281</v>
      </c>
      <c r="B38" s="163">
        <f ca="1">FV(B34/12,(40-B35)*12,-B33,-B32)</f>
        <v>42097.905260935302</v>
      </c>
      <c r="C38" s="62"/>
      <c r="D38" s="62"/>
      <c r="E38" s="62"/>
      <c r="F38" s="62"/>
      <c r="G38" s="62"/>
      <c r="H38" s="62"/>
      <c r="I38" s="62"/>
      <c r="J38" s="62"/>
    </row>
    <row r="39" ht="22.149999999999999" customHeight="1">
      <c r="A39" s="164" t="s">
        <v>282</v>
      </c>
      <c r="B39" s="165">
        <f ca="1">FV(B34/12,(45-B35)*12,-B33,-B32)</f>
        <v>60364.348665409212</v>
      </c>
      <c r="C39" s="128"/>
      <c r="D39" s="128"/>
      <c r="E39" s="128"/>
      <c r="F39" s="128"/>
      <c r="G39" s="128"/>
      <c r="H39" s="128"/>
      <c r="I39" s="128"/>
      <c r="J39" s="128"/>
    </row>
    <row r="40" ht="1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</row>
    <row r="41" ht="18" customHeight="1">
      <c r="A41" s="64" t="s">
        <v>283</v>
      </c>
      <c r="B41" s="65"/>
      <c r="C41" s="65"/>
      <c r="D41" s="65"/>
      <c r="E41" s="65"/>
      <c r="F41" s="62"/>
      <c r="G41" s="62"/>
      <c r="H41" s="62"/>
      <c r="I41" s="62"/>
      <c r="J41" s="62"/>
    </row>
    <row r="42" ht="18" customHeight="1">
      <c r="A42" s="149" t="s">
        <v>284</v>
      </c>
      <c r="B42" s="166" t="s">
        <v>285</v>
      </c>
      <c r="C42" s="62"/>
      <c r="D42" s="62"/>
      <c r="E42" s="62"/>
      <c r="F42" s="62"/>
      <c r="G42" s="62"/>
      <c r="H42" s="62"/>
      <c r="I42" s="62"/>
      <c r="J42" s="62"/>
    </row>
    <row r="43" ht="18" customHeight="1">
      <c r="A43" s="149" t="s">
        <v>286</v>
      </c>
      <c r="B43" s="166" t="s">
        <v>287</v>
      </c>
      <c r="C43" s="62"/>
      <c r="D43" s="62"/>
      <c r="E43" s="62"/>
      <c r="F43" s="62"/>
      <c r="G43" s="62"/>
      <c r="H43" s="62"/>
      <c r="I43" s="62"/>
      <c r="J43" s="62"/>
    </row>
    <row r="44" ht="18" customHeight="1">
      <c r="A44" s="149" t="s">
        <v>288</v>
      </c>
      <c r="B44" s="166" t="s">
        <v>289</v>
      </c>
      <c r="C44" s="62"/>
      <c r="D44" s="62"/>
      <c r="E44" s="62"/>
      <c r="F44" s="62"/>
      <c r="G44" s="62"/>
      <c r="H44" s="62"/>
      <c r="I44" s="62"/>
      <c r="J44" s="62"/>
    </row>
    <row r="45" ht="13.5">
      <c r="A45" s="62"/>
      <c r="B45" s="62"/>
      <c r="C45" s="62"/>
      <c r="D45" s="62"/>
      <c r="E45" s="62"/>
      <c r="F45" s="62"/>
      <c r="G45" s="62"/>
      <c r="H45" s="62"/>
      <c r="I45" s="62"/>
      <c r="J45" s="62"/>
    </row>
    <row r="46">
      <c r="A46" s="167" t="s">
        <v>290</v>
      </c>
    </row>
    <row r="47">
      <c r="A47" s="168" t="s">
        <v>230</v>
      </c>
      <c r="B47" s="168" t="s">
        <v>235</v>
      </c>
      <c r="C47" s="168" t="s">
        <v>291</v>
      </c>
      <c r="D47" s="168" t="s">
        <v>238</v>
      </c>
    </row>
    <row r="48">
      <c r="A48" t="str">
        <f t="shared" ref="A48:A59" si="21">IF(A4="","",A4)</f>
        <v>Jan</v>
      </c>
      <c r="B48" s="52">
        <f t="shared" ref="B48:B59" si="22">IF(F4="","",F4)</f>
        <v>50123.349999999999</v>
      </c>
      <c r="C48" s="52">
        <f t="shared" ref="C48:C59" si="23">IF(I4="","",I4)</f>
        <v>30000</v>
      </c>
      <c r="D48" s="52">
        <f t="shared" ref="D48:D59" si="24">IF(J4="","",J4)</f>
        <v>20123.349999999999</v>
      </c>
    </row>
    <row r="49">
      <c r="A49" t="str">
        <f t="shared" si="21"/>
        <v>Feb</v>
      </c>
      <c r="B49" s="52">
        <f t="shared" si="22"/>
        <v>50323.349999999999</v>
      </c>
      <c r="C49" s="52">
        <f t="shared" si="23"/>
        <v>30000</v>
      </c>
      <c r="D49" s="52">
        <f t="shared" si="24"/>
        <v>20323.349999999999</v>
      </c>
    </row>
    <row r="50">
      <c r="A50" t="str">
        <f t="shared" si="21"/>
        <v>Mar</v>
      </c>
      <c r="B50" s="52">
        <f t="shared" si="22"/>
        <v>48412.899999999994</v>
      </c>
      <c r="C50" s="52">
        <f t="shared" si="23"/>
        <v>30000</v>
      </c>
      <c r="D50" s="52">
        <f t="shared" si="24"/>
        <v>18412.899999999994</v>
      </c>
    </row>
    <row r="51">
      <c r="A51" t="str">
        <f t="shared" si="21"/>
        <v>Apr</v>
      </c>
      <c r="B51" s="52">
        <f t="shared" si="22"/>
        <v>77700</v>
      </c>
      <c r="C51" s="52">
        <f t="shared" si="23"/>
        <v>48000</v>
      </c>
      <c r="D51" s="52">
        <f t="shared" si="24"/>
        <v>29700</v>
      </c>
    </row>
    <row r="52">
      <c r="A52" t="str">
        <f t="shared" si="21"/>
        <v>May</v>
      </c>
      <c r="B52" s="52" t="str">
        <f t="shared" si="22"/>
        <v/>
      </c>
      <c r="C52" s="52" t="str">
        <f t="shared" si="23"/>
        <v/>
      </c>
      <c r="D52" s="52" t="str">
        <f t="shared" si="24"/>
        <v/>
      </c>
    </row>
    <row r="53">
      <c r="A53" t="str">
        <f t="shared" si="21"/>
        <v>Jun</v>
      </c>
      <c r="B53" s="52" t="str">
        <f t="shared" si="22"/>
        <v/>
      </c>
      <c r="C53" s="52" t="str">
        <f t="shared" si="23"/>
        <v/>
      </c>
      <c r="D53" s="52" t="str">
        <f t="shared" si="24"/>
        <v/>
      </c>
    </row>
    <row r="54">
      <c r="A54" t="str">
        <f t="shared" si="21"/>
        <v>Jul</v>
      </c>
      <c r="B54" s="52" t="str">
        <f t="shared" si="22"/>
        <v/>
      </c>
      <c r="C54" s="52" t="str">
        <f t="shared" si="23"/>
        <v/>
      </c>
      <c r="D54" s="52" t="str">
        <f t="shared" si="24"/>
        <v/>
      </c>
    </row>
    <row r="55">
      <c r="A55" t="str">
        <f t="shared" si="21"/>
        <v>Aug</v>
      </c>
      <c r="B55" s="52" t="str">
        <f t="shared" si="22"/>
        <v/>
      </c>
      <c r="C55" s="52" t="str">
        <f t="shared" si="23"/>
        <v/>
      </c>
      <c r="D55" s="52" t="str">
        <f t="shared" si="24"/>
        <v/>
      </c>
    </row>
    <row r="56">
      <c r="A56" t="str">
        <f t="shared" si="21"/>
        <v>Sep</v>
      </c>
      <c r="B56" s="52" t="str">
        <f t="shared" si="22"/>
        <v/>
      </c>
      <c r="C56" s="52" t="str">
        <f t="shared" si="23"/>
        <v/>
      </c>
      <c r="D56" s="52" t="str">
        <f t="shared" si="24"/>
        <v/>
      </c>
    </row>
    <row r="57">
      <c r="A57" t="str">
        <f t="shared" si="21"/>
        <v>Oct</v>
      </c>
      <c r="B57" s="52" t="str">
        <f t="shared" si="22"/>
        <v/>
      </c>
      <c r="C57" s="52" t="str">
        <f t="shared" si="23"/>
        <v/>
      </c>
      <c r="D57" s="52" t="str">
        <f t="shared" si="24"/>
        <v/>
      </c>
    </row>
    <row r="58">
      <c r="A58" t="str">
        <f t="shared" si="21"/>
        <v>Nov</v>
      </c>
      <c r="B58" s="52" t="str">
        <f t="shared" si="22"/>
        <v/>
      </c>
      <c r="C58" s="52" t="str">
        <f t="shared" si="23"/>
        <v/>
      </c>
      <c r="D58" s="52" t="str">
        <f t="shared" si="24"/>
        <v/>
      </c>
    </row>
    <row r="59">
      <c r="A59" t="str">
        <f t="shared" si="21"/>
        <v>Dec</v>
      </c>
      <c r="B59" s="52" t="str">
        <f t="shared" si="22"/>
        <v/>
      </c>
      <c r="C59" s="52" t="str">
        <f t="shared" si="23"/>
        <v/>
      </c>
      <c r="D59" s="52" t="str">
        <f t="shared" si="24"/>
        <v/>
      </c>
    </row>
    <row r="61">
      <c r="A61" s="169" t="s">
        <v>292</v>
      </c>
    </row>
    <row r="62">
      <c r="A62" t="s">
        <v>231</v>
      </c>
      <c r="B62" s="52" cm="1">
        <f t="array" ref="B62">LOOKUP(2,1/(B4:B15&lt;&gt;""),B4:B15)</f>
        <v>15000</v>
      </c>
    </row>
    <row r="63">
      <c r="A63" t="s">
        <v>232</v>
      </c>
      <c r="B63" s="52" cm="1">
        <f t="array" ref="B63">LOOKUP(2,1/(C4:C15&lt;&gt;""),C4:C15)</f>
        <v>35500</v>
      </c>
    </row>
    <row r="64">
      <c r="A64" t="s">
        <v>233</v>
      </c>
      <c r="B64" s="52" cm="1">
        <f t="array" ref="B64">LOOKUP(2,1/(D4:D15&lt;&gt;""),D4:D15)</f>
        <v>2200</v>
      </c>
    </row>
    <row r="65">
      <c r="A65" t="s">
        <v>234</v>
      </c>
      <c r="B65" s="52" cm="1">
        <f t="array" ref="B65">IFERROR(LOOKUP(2,1/(E4:E15&lt;&gt;""),E4:E15),0)</f>
        <v>25000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CE00E4-00DB-4283-8354-004400C30036}">
            <xm:f>0</xm:f>
            <x14:dxf>
              <font>
                <b/>
                <i val="0"/>
                <color indexed="2"/>
              </font>
            </x14:dxf>
          </x14:cfRule>
          <xm:sqref>K13:L965</xm:sqref>
        </x14:conditionalFormatting>
        <x14:conditionalFormatting xmlns:xm="http://schemas.microsoft.com/office/excel/2006/main">
          <x14:cfRule type="cellIs" priority="2" operator="greaterThan" id="{00C900EA-000E-425E-B196-003500C600EF}">
            <xm:f>0</xm:f>
            <x14:dxf>
              <font>
                <b/>
                <i val="0"/>
                <color theme="7"/>
              </font>
            </x14:dxf>
          </x14:cfRule>
          <xm:sqref>K13:L965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3.15"/>
  <cols>
    <col bestFit="1" customWidth="1" min="1" max="1" width="27.140625"/>
    <col customWidth="1" min="2" max="2" width="33.28515625"/>
    <col customWidth="1" min="3" max="3" width="57.42578125"/>
    <col customWidth="1" min="4" max="4" width="37"/>
  </cols>
  <sheetData>
    <row r="1" ht="15.6">
      <c r="A1" s="170" t="s">
        <v>293</v>
      </c>
      <c r="B1" s="170" t="s">
        <v>99</v>
      </c>
    </row>
    <row r="2">
      <c r="A2" t="s">
        <v>294</v>
      </c>
      <c r="B2">
        <v>1</v>
      </c>
    </row>
    <row r="3">
      <c r="A3" t="s">
        <v>295</v>
      </c>
      <c r="B3">
        <v>0.435</v>
      </c>
    </row>
    <row r="4">
      <c r="A4" t="s">
        <v>296</v>
      </c>
      <c r="B4">
        <v>30.399999999999999</v>
      </c>
    </row>
    <row r="5">
      <c r="A5" t="s">
        <v>297</v>
      </c>
      <c r="B5" s="37">
        <v>22</v>
      </c>
    </row>
    <row r="6">
      <c r="A6" t="s">
        <v>298</v>
      </c>
      <c r="B6">
        <v>700</v>
      </c>
    </row>
    <row r="7">
      <c r="A7" t="s">
        <v>299</v>
      </c>
      <c r="B7">
        <v>6000</v>
      </c>
    </row>
    <row r="8">
      <c r="A8" t="s">
        <v>300</v>
      </c>
      <c r="B8">
        <v>400</v>
      </c>
    </row>
    <row r="9">
      <c r="A9" t="s">
        <v>301</v>
      </c>
      <c r="B9" s="37">
        <v>600</v>
      </c>
    </row>
    <row r="10">
      <c r="A10" t="s">
        <v>302</v>
      </c>
      <c r="B10" s="37">
        <v>3220</v>
      </c>
    </row>
    <row r="11">
      <c r="A11" t="s">
        <v>303</v>
      </c>
      <c r="B11" s="37">
        <v>15000</v>
      </c>
    </row>
    <row r="12">
      <c r="A12" t="s">
        <v>304</v>
      </c>
      <c r="B12" s="171">
        <v>0.070000000000000007</v>
      </c>
    </row>
    <row r="13">
      <c r="A13" t="s">
        <v>305</v>
      </c>
      <c r="B13" s="37">
        <v>400</v>
      </c>
    </row>
    <row r="14">
      <c r="A14" t="s">
        <v>306</v>
      </c>
      <c r="B14" s="172">
        <v>0.5</v>
      </c>
    </row>
    <row r="15">
      <c r="A15" s="173" t="s">
        <v>307</v>
      </c>
      <c r="B15" s="174" t="b">
        <v>1</v>
      </c>
    </row>
    <row r="16" ht="15.6">
      <c r="A16" s="170" t="s">
        <v>308</v>
      </c>
      <c r="B16" s="175"/>
      <c r="C16" s="175"/>
      <c r="D16" s="175"/>
    </row>
    <row r="17">
      <c r="A17" s="30" t="s">
        <v>309</v>
      </c>
    </row>
    <row r="19">
      <c r="A19" s="26" t="s">
        <v>59</v>
      </c>
      <c r="B19" s="26" t="s">
        <v>310</v>
      </c>
      <c r="C19" s="26" t="s">
        <v>311</v>
      </c>
      <c r="D19" s="26" t="s">
        <v>121</v>
      </c>
    </row>
    <row r="20">
      <c r="A20">
        <v>1</v>
      </c>
      <c r="B20" t="s">
        <v>312</v>
      </c>
      <c r="C20" t="s">
        <v>313</v>
      </c>
      <c r="D20" s="33" t="str">
        <f ca="1">IF(Dashboard!B15=Dashboard!B11,"✅ PASS","❌ FAIL")</f>
        <v xml:space="preserve">✅ PASS</v>
      </c>
    </row>
    <row r="21">
      <c r="A21">
        <v>2</v>
      </c>
      <c r="B21" t="s">
        <v>314</v>
      </c>
      <c r="C21" t="s">
        <v>315</v>
      </c>
      <c r="D21" s="33" t="str">
        <f>IF(_xlfn.ISFORMULA(Dashboard!B22),"✅ PASS","❌ FAIL")</f>
        <v xml:space="preserve">✅ PASS</v>
      </c>
    </row>
    <row r="22">
      <c r="A22">
        <v>3</v>
      </c>
      <c r="B22" t="s">
        <v>316</v>
      </c>
      <c r="C22" t="s">
        <v>317</v>
      </c>
      <c r="D22" s="33" t="str">
        <f>IF(_xlfn.ISFORMULA(Dashboard!B54),"✅ PASS","❌ FAIL")</f>
        <v xml:space="preserve">✅ PASS</v>
      </c>
    </row>
    <row r="23">
      <c r="A23">
        <v>4</v>
      </c>
      <c r="B23" t="s">
        <v>318</v>
      </c>
      <c r="C23" t="s">
        <v>319</v>
      </c>
      <c r="D23" s="33" t="str">
        <f>IF(_xlfn.ISFORMULA(Bills!D2),"✅ PASS","❌ FAIL")</f>
        <v xml:space="preserve">✅ PASS</v>
      </c>
    </row>
    <row r="24">
      <c r="A24">
        <v>5</v>
      </c>
      <c r="B24" t="s">
        <v>320</v>
      </c>
      <c r="C24" t="s">
        <v>321</v>
      </c>
      <c r="D24" s="33" t="str">
        <f>IF(Bills!F6=FALSE,"✅ PASS","❌ FAIL")</f>
        <v xml:space="preserve">✅ PASS</v>
      </c>
    </row>
    <row r="25">
      <c r="A25">
        <v>6</v>
      </c>
      <c r="B25" t="s">
        <v>322</v>
      </c>
      <c r="C25" t="s">
        <v>323</v>
      </c>
      <c r="D25" s="33" t="str">
        <f>IF(AND(Bills!B4=21,Bills!C4=3,Bills!F4=TRUE),"✅ PASS","❌ FAIL")</f>
        <v xml:space="preserve">✅ PASS</v>
      </c>
    </row>
    <row r="26">
      <c r="A26">
        <v>7</v>
      </c>
      <c r="B26" t="s">
        <v>69</v>
      </c>
      <c r="C26" t="s">
        <v>324</v>
      </c>
      <c r="D26" s="33" t="str">
        <f>IF(OR(_xlfn.ISFORMULA(Dashboard!B33),Dashboard!B33=0),"✅ PASS","❌ FAIL")</f>
        <v xml:space="preserve">✅ PASS</v>
      </c>
    </row>
    <row r="27">
      <c r="A27">
        <v>8</v>
      </c>
      <c r="B27" t="s">
        <v>325</v>
      </c>
      <c r="C27" t="s">
        <v>326</v>
      </c>
      <c r="D27" s="33" t="str">
        <f>IF(B8=400,"✅ PASS","❌ FAIL")</f>
        <v xml:space="preserve">✅ PASS</v>
      </c>
    </row>
    <row r="28">
      <c r="A28">
        <v>9</v>
      </c>
      <c r="B28" t="s">
        <v>327</v>
      </c>
      <c r="C28" t="s">
        <v>328</v>
      </c>
      <c r="D28" s="33" t="str">
        <f>IF(_xlfn.ISFORMULA(Dashboard!B62),"✅ PASS","❌ FAIL")</f>
        <v xml:space="preserve">✅ PASS</v>
      </c>
    </row>
    <row r="29">
      <c r="A29">
        <v>10</v>
      </c>
      <c r="B29" t="s">
        <v>329</v>
      </c>
      <c r="C29" t="s">
        <v>330</v>
      </c>
      <c r="D29" s="33" t="str">
        <f>IF(_xlfn.ISFORMULA('Wealth Management 2026'!J16),"✅ PASS","❌ FAIL")</f>
        <v xml:space="preserve">✅ PASS</v>
      </c>
    </row>
    <row r="31" ht="15.6">
      <c r="A31" s="33" t="s">
        <v>331</v>
      </c>
      <c r="D31" s="42" t="str">
        <f ca="1">IF(COUNTIF(D20:D29,"❌ FAIL")&gt;0,"❌ "&amp;COUNTIF(D20:D29,"❌ FAIL")&amp;" CHECK(S) FAILED","✅ ALL 10 CHECKS PASS")</f>
        <v xml:space="preserve">✅ ALL 10 CHECKS PASS</v>
      </c>
    </row>
    <row r="32">
      <c r="A32" t="s">
        <v>332</v>
      </c>
      <c r="D32" s="176" t="str">
        <f ca="1">TEXT(TODAY(),"yyyy-mm-dd")</f>
        <v>2026-04-23</v>
      </c>
    </row>
    <row r="34" ht="13.9">
      <c r="A34" s="177" t="s">
        <v>333</v>
      </c>
      <c r="B34" s="175"/>
    </row>
    <row r="35">
      <c r="A35" t="s">
        <v>334</v>
      </c>
      <c r="B35" s="178">
        <v>54000</v>
      </c>
    </row>
    <row r="36">
      <c r="A36" t="s">
        <v>335</v>
      </c>
      <c r="B36" s="172">
        <v>0.12</v>
      </c>
    </row>
    <row r="37">
      <c r="A37" t="s">
        <v>336</v>
      </c>
      <c r="B37" s="172">
        <v>0.040000000000000001</v>
      </c>
    </row>
    <row r="38">
      <c r="A38" t="s">
        <v>337</v>
      </c>
      <c r="B38" s="52">
        <f>B35*(B36+B37)</f>
        <v>8640</v>
      </c>
    </row>
    <row r="39">
      <c r="A39" t="s">
        <v>338</v>
      </c>
      <c r="B39" s="37">
        <v>24</v>
      </c>
    </row>
    <row r="40">
      <c r="A40" t="s">
        <v>339</v>
      </c>
      <c r="B40" s="179">
        <f>B38/B39</f>
        <v>360</v>
      </c>
    </row>
    <row r="41">
      <c r="A41" t="s">
        <v>340</v>
      </c>
      <c r="B41" s="20">
        <f>B38/12</f>
        <v>720</v>
      </c>
    </row>
    <row r="43">
      <c r="A43" s="30" t="s">
        <v>341</v>
      </c>
    </row>
    <row r="44">
      <c r="A44" s="30" t="s">
        <v>342</v>
      </c>
    </row>
    <row r="46" ht="13.9">
      <c r="A46" s="177" t="s">
        <v>343</v>
      </c>
      <c r="B46" s="175"/>
      <c r="C46" s="175"/>
      <c r="D46" s="175"/>
    </row>
    <row r="47">
      <c r="A47" s="26" t="s">
        <v>344</v>
      </c>
      <c r="B47" s="26" t="s">
        <v>345</v>
      </c>
      <c r="C47" s="26" t="s">
        <v>346</v>
      </c>
      <c r="D47" s="26" t="s">
        <v>347</v>
      </c>
    </row>
    <row r="48">
      <c r="A48" t="s">
        <v>348</v>
      </c>
      <c r="B48" s="38">
        <v>141.94999999999999</v>
      </c>
      <c r="C48" s="37"/>
      <c r="D48" s="9"/>
    </row>
    <row r="49">
      <c r="A49" t="s">
        <v>349</v>
      </c>
      <c r="B49" s="38"/>
      <c r="C49" s="37"/>
      <c r="D49" s="9"/>
    </row>
    <row r="50">
      <c r="A50" t="s">
        <v>350</v>
      </c>
      <c r="B50" s="38"/>
      <c r="C50" s="37"/>
      <c r="D50" s="9"/>
    </row>
    <row r="51">
      <c r="A51" t="s">
        <v>351</v>
      </c>
      <c r="B51" s="38"/>
      <c r="C51" s="37"/>
      <c r="D51" s="9"/>
    </row>
    <row r="53" ht="13.9">
      <c r="A53" s="177" t="s">
        <v>352</v>
      </c>
      <c r="B53" s="175"/>
    </row>
    <row r="54">
      <c r="A54" t="s">
        <v>353</v>
      </c>
      <c r="B54" s="178">
        <v>54000</v>
      </c>
    </row>
    <row r="55">
      <c r="A55" t="s">
        <v>354</v>
      </c>
      <c r="B55" s="178">
        <v>65000</v>
      </c>
    </row>
    <row r="56">
      <c r="A56" t="s">
        <v>355</v>
      </c>
      <c r="B56" s="10">
        <f>(B55-B54)*(1-B36-B37)/12</f>
        <v>770</v>
      </c>
    </row>
    <row r="57">
      <c r="A57" t="s">
        <v>356</v>
      </c>
      <c r="B57" s="10">
        <f>Dashboard!B54+B56</f>
        <v>3990</v>
      </c>
    </row>
    <row r="58">
      <c r="A58" t="s">
        <v>357</v>
      </c>
      <c r="B58" s="36">
        <f>Dashboard!B57</f>
        <v>1523.95</v>
      </c>
    </row>
    <row r="59">
      <c r="A59" t="s">
        <v>358</v>
      </c>
      <c r="B59" s="20">
        <f>B57-B58</f>
        <v>2466.0500000000002</v>
      </c>
    </row>
    <row r="60">
      <c r="A60" t="s">
        <v>359</v>
      </c>
      <c r="B60" s="20">
        <f>B56</f>
        <v>770</v>
      </c>
    </row>
    <row r="63" ht="13.9">
      <c r="A63" s="177" t="s">
        <v>360</v>
      </c>
      <c r="B63" s="175"/>
      <c r="C63" s="175"/>
      <c r="D63" s="175"/>
    </row>
    <row r="64">
      <c r="A64" s="26" t="s">
        <v>361</v>
      </c>
      <c r="B64" s="26" t="s">
        <v>362</v>
      </c>
      <c r="C64" s="26" t="s">
        <v>363</v>
      </c>
      <c r="D64" s="26" t="s">
        <v>364</v>
      </c>
    </row>
    <row r="65">
      <c r="A65" s="39">
        <v>46103</v>
      </c>
      <c r="B65" s="37" t="s">
        <v>365</v>
      </c>
      <c r="C65" s="37" t="s">
        <v>366</v>
      </c>
      <c r="D65" s="37" t="s">
        <v>367</v>
      </c>
    </row>
    <row r="66">
      <c r="A66" s="37"/>
      <c r="B66" s="37"/>
      <c r="C66" s="37"/>
      <c r="D66" s="37"/>
    </row>
    <row r="67">
      <c r="A67" s="37"/>
      <c r="B67" s="37"/>
      <c r="C67" s="37"/>
      <c r="D67" s="37"/>
    </row>
    <row r="68">
      <c r="A68" s="37"/>
      <c r="B68" s="37"/>
      <c r="C68" s="37"/>
      <c r="D68" s="37"/>
    </row>
    <row r="69">
      <c r="A69" s="37"/>
      <c r="B69" s="37"/>
      <c r="C69" s="37"/>
      <c r="D69" s="37"/>
    </row>
    <row r="70">
      <c r="A70" s="37"/>
      <c r="B70" s="37"/>
      <c r="C70" s="37"/>
      <c r="D70" s="3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3.15"/>
  <cols>
    <col customWidth="1" min="1" max="1" width="57.42578125"/>
    <col customWidth="1" min="2" max="2" width="37"/>
  </cols>
  <sheetData>
    <row r="1" ht="17.449999999999999">
      <c r="A1" s="180" t="s">
        <v>368</v>
      </c>
    </row>
    <row r="2">
      <c r="A2" s="30" t="s">
        <v>369</v>
      </c>
    </row>
    <row r="4" ht="13.9">
      <c r="A4" s="177" t="s">
        <v>370</v>
      </c>
      <c r="B4" s="175"/>
    </row>
    <row r="5">
      <c r="A5" t="s">
        <v>371</v>
      </c>
      <c r="B5" s="37"/>
    </row>
    <row r="6">
      <c r="A6" t="s">
        <v>372</v>
      </c>
      <c r="B6" s="178">
        <v>30000</v>
      </c>
    </row>
    <row r="7">
      <c r="A7" t="s">
        <v>373</v>
      </c>
      <c r="B7" s="172">
        <v>0.055</v>
      </c>
    </row>
    <row r="8">
      <c r="A8" t="s">
        <v>374</v>
      </c>
      <c r="B8" s="37" t="s">
        <v>375</v>
      </c>
    </row>
    <row r="9">
      <c r="A9" t="s">
        <v>376</v>
      </c>
      <c r="B9" s="37"/>
    </row>
    <row r="10">
      <c r="A10" t="s">
        <v>377</v>
      </c>
      <c r="B10" s="37" t="s">
        <v>378</v>
      </c>
    </row>
    <row r="11">
      <c r="A11" t="s">
        <v>379</v>
      </c>
      <c r="B11" s="178">
        <v>0</v>
      </c>
    </row>
    <row r="12">
      <c r="A12" t="s">
        <v>380</v>
      </c>
      <c r="B12" s="181">
        <v>10</v>
      </c>
    </row>
    <row r="13">
      <c r="A13" t="s">
        <v>381</v>
      </c>
      <c r="B13" s="182">
        <f>Assumptions!B12</f>
        <v>0.070000000000000007</v>
      </c>
    </row>
    <row r="14">
      <c r="A14" t="s">
        <v>334</v>
      </c>
      <c r="B14" s="178">
        <v>54000</v>
      </c>
    </row>
    <row r="15">
      <c r="A15" t="s">
        <v>382</v>
      </c>
      <c r="B15" s="178">
        <v>3220</v>
      </c>
    </row>
    <row r="16">
      <c r="A16" t="s">
        <v>357</v>
      </c>
      <c r="B16" s="36">
        <f>Dashboard!B57</f>
        <v>1523.95</v>
      </c>
    </row>
    <row r="18" ht="13.9">
      <c r="A18" s="177" t="s">
        <v>383</v>
      </c>
      <c r="B18" s="175"/>
    </row>
    <row r="19">
      <c r="A19" t="s">
        <v>384</v>
      </c>
      <c r="B19" s="10">
        <f>PMT(B7/12,B12*12,-B6)</f>
        <v>325.57883388144222</v>
      </c>
    </row>
    <row r="20">
      <c r="A20" t="s">
        <v>385</v>
      </c>
      <c r="B20" s="52">
        <f>B19*B12*12</f>
        <v>39069.46006577307</v>
      </c>
    </row>
    <row r="21">
      <c r="A21" t="s">
        <v>386</v>
      </c>
      <c r="B21" s="52">
        <f>B20-B6</f>
        <v>9069.4600657730698</v>
      </c>
    </row>
    <row r="23">
      <c r="A23" t="s">
        <v>387</v>
      </c>
      <c r="B23" s="181">
        <v>25</v>
      </c>
    </row>
    <row r="24">
      <c r="A24" t="s">
        <v>388</v>
      </c>
      <c r="B24" s="10">
        <f>PMT(B7/12,B23*12,-B6)</f>
        <v>184.22624768444106</v>
      </c>
    </row>
    <row r="25">
      <c r="A25" t="s">
        <v>389</v>
      </c>
      <c r="B25" s="52">
        <f>B24*B23*12</f>
        <v>55267.874305332327</v>
      </c>
    </row>
    <row r="26">
      <c r="A26" t="s">
        <v>390</v>
      </c>
      <c r="B26" s="52">
        <f>B25-B6</f>
        <v>25267.874305332327</v>
      </c>
    </row>
    <row r="28">
      <c r="A28" t="s">
        <v>391</v>
      </c>
      <c r="B28" s="183">
        <f>B26-B21</f>
        <v>16198.414239559257</v>
      </c>
    </row>
    <row r="30" ht="13.9">
      <c r="A30" s="177" t="s">
        <v>392</v>
      </c>
      <c r="B30" s="175"/>
    </row>
    <row r="32">
      <c r="A32" s="33" t="s">
        <v>393</v>
      </c>
      <c r="B32" s="33" t="s">
        <v>394</v>
      </c>
    </row>
    <row r="33">
      <c r="A33" t="s">
        <v>395</v>
      </c>
      <c r="B33" s="10">
        <f>PMT(B7/12,3*12,-B6)</f>
        <v>905.87705412930859</v>
      </c>
    </row>
    <row r="34">
      <c r="A34" t="s">
        <v>396</v>
      </c>
      <c r="B34" s="52">
        <f>(B33*36)-B6</f>
        <v>2611.5739486551101</v>
      </c>
    </row>
    <row r="35">
      <c r="A35" t="s">
        <v>397</v>
      </c>
      <c r="B35" s="52">
        <f>B21-B34</f>
        <v>6457.8861171179597</v>
      </c>
    </row>
    <row r="37">
      <c r="A37" s="33" t="s">
        <v>393</v>
      </c>
      <c r="B37" s="33" t="s">
        <v>398</v>
      </c>
    </row>
    <row r="38">
      <c r="A38" t="s">
        <v>395</v>
      </c>
      <c r="B38" s="10">
        <f>PMT(B7/12,5*12,-B6)</f>
        <v>573.03486515346731</v>
      </c>
    </row>
    <row r="39">
      <c r="A39" t="s">
        <v>396</v>
      </c>
      <c r="B39" s="52">
        <f>(B38*60)-B6</f>
        <v>4382.0919092080367</v>
      </c>
    </row>
    <row r="40">
      <c r="A40" t="s">
        <v>397</v>
      </c>
      <c r="B40" s="52">
        <f>B21-B39</f>
        <v>4687.3681565650331</v>
      </c>
    </row>
    <row r="42">
      <c r="A42" s="33" t="s">
        <v>393</v>
      </c>
      <c r="B42" s="33" t="s">
        <v>399</v>
      </c>
    </row>
    <row r="43">
      <c r="A43" t="s">
        <v>395</v>
      </c>
      <c r="B43" s="10">
        <f>PMT(B7/12,7*12,-B6)</f>
        <v>431.10127954178898</v>
      </c>
    </row>
    <row r="44">
      <c r="A44" t="s">
        <v>396</v>
      </c>
      <c r="B44" s="52">
        <f>(B43*84)-B6</f>
        <v>6212.507481510278</v>
      </c>
    </row>
    <row r="45">
      <c r="A45" t="s">
        <v>397</v>
      </c>
      <c r="B45" s="52">
        <f>B21-B44</f>
        <v>2856.9525842627918</v>
      </c>
    </row>
    <row r="47" ht="13.9">
      <c r="A47" s="177" t="s">
        <v>400</v>
      </c>
      <c r="B47" s="175"/>
    </row>
    <row r="48">
      <c r="A48" t="s">
        <v>401</v>
      </c>
      <c r="B48" s="36">
        <f>B15-B16</f>
        <v>1696.05</v>
      </c>
    </row>
    <row r="50">
      <c r="A50" t="s">
        <v>402</v>
      </c>
      <c r="B50" s="10">
        <f>B48-B33</f>
        <v>790.17294587069136</v>
      </c>
    </row>
    <row r="51">
      <c r="A51" t="s">
        <v>403</v>
      </c>
      <c r="B51" s="10">
        <f>B48-B38</f>
        <v>1123.0151348465326</v>
      </c>
    </row>
    <row r="52">
      <c r="A52" t="s">
        <v>404</v>
      </c>
      <c r="B52" s="10">
        <f>B48-B43</f>
        <v>1264.948720458211</v>
      </c>
    </row>
    <row r="53">
      <c r="A53" t="s">
        <v>405</v>
      </c>
      <c r="B53" s="10">
        <f>B48-B19</f>
        <v>1370.4711661185577</v>
      </c>
    </row>
    <row r="55" ht="13.9">
      <c r="A55" s="177" t="s">
        <v>406</v>
      </c>
      <c r="B55" s="175"/>
    </row>
    <row r="56">
      <c r="A56" t="s">
        <v>407</v>
      </c>
    </row>
    <row r="57">
      <c r="A57" t="s">
        <v>408</v>
      </c>
      <c r="B57" s="10">
        <f>B33-B19</f>
        <v>580.29822024786631</v>
      </c>
    </row>
    <row r="58">
      <c r="A58" t="s">
        <v>409</v>
      </c>
      <c r="B58" s="52">
        <f>FV(B13/12,B12*12,-B57)</f>
        <v>100440.80570562607</v>
      </c>
    </row>
    <row r="59">
      <c r="A59" t="s">
        <v>410</v>
      </c>
      <c r="B59" s="52">
        <f>B35</f>
        <v>6457.8861171179597</v>
      </c>
    </row>
    <row r="60">
      <c r="A60" t="s">
        <v>411</v>
      </c>
      <c r="B60" s="183">
        <f>B58-B59</f>
        <v>93982.919588508114</v>
      </c>
    </row>
    <row r="62" ht="13.9">
      <c r="A62" s="184" t="s">
        <v>412</v>
      </c>
      <c r="B62" s="185" t="str">
        <f>IF(B60&gt;0,"INVEST the difference — market return beats interest savings by $"&amp;TEXT(B60,"#,##0"),"PAY AGGRESSIVELY — interest savings beat market return by $"&amp;TEXT(ABS(B60),"#,##0"))</f>
        <v xml:space="preserve">INVEST the difference — market return beats interest savings by $93,983</v>
      </c>
    </row>
    <row r="64">
      <c r="A64" s="30" t="s">
        <v>413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3.15"/>
  <cols>
    <col customWidth="1" min="1" max="1" width="57.42578125"/>
    <col customWidth="1" min="2" max="2" width="46.28515625"/>
  </cols>
  <sheetData>
    <row r="1" ht="17.449999999999999">
      <c r="A1" s="44" t="s">
        <v>414</v>
      </c>
    </row>
    <row r="2">
      <c r="A2" s="30" t="s">
        <v>415</v>
      </c>
    </row>
    <row r="4" ht="13.9">
      <c r="A4" s="177" t="s">
        <v>416</v>
      </c>
      <c r="B4" s="175"/>
    </row>
    <row r="5">
      <c r="A5" t="s">
        <v>334</v>
      </c>
      <c r="B5" s="178">
        <v>54000</v>
      </c>
    </row>
    <row r="6">
      <c r="A6" t="s">
        <v>417</v>
      </c>
      <c r="B6" s="172">
        <v>0.029999999999999999</v>
      </c>
    </row>
    <row r="7">
      <c r="A7" t="s">
        <v>418</v>
      </c>
      <c r="B7" s="172">
        <v>0.040000000000000001</v>
      </c>
    </row>
    <row r="8">
      <c r="A8" t="s">
        <v>419</v>
      </c>
      <c r="B8" s="172">
        <v>0.040000000000000001</v>
      </c>
    </row>
    <row r="9">
      <c r="A9" t="s">
        <v>420</v>
      </c>
      <c r="B9" s="178">
        <v>1550</v>
      </c>
    </row>
    <row r="10">
      <c r="A10" t="s">
        <v>279</v>
      </c>
      <c r="B10" s="181">
        <v>30</v>
      </c>
    </row>
    <row r="11">
      <c r="A11" t="s">
        <v>421</v>
      </c>
      <c r="B11" s="181">
        <v>65</v>
      </c>
    </row>
    <row r="12">
      <c r="A12" t="s">
        <v>422</v>
      </c>
      <c r="B12" s="182">
        <f>Assumptions!B12</f>
        <v>0.070000000000000007</v>
      </c>
    </row>
    <row r="13">
      <c r="A13" t="s">
        <v>423</v>
      </c>
      <c r="B13" s="172">
        <v>0.089999999999999997</v>
      </c>
    </row>
    <row r="16">
      <c r="A16" t="s">
        <v>424</v>
      </c>
      <c r="B16" s="22">
        <f>B11-B10</f>
        <v>35</v>
      </c>
    </row>
    <row r="18" ht="13.9">
      <c r="A18" s="177" t="s">
        <v>425</v>
      </c>
      <c r="B18" s="175"/>
    </row>
    <row r="19">
      <c r="A19" t="s">
        <v>426</v>
      </c>
      <c r="B19" s="52">
        <f>B5*B6</f>
        <v>1620</v>
      </c>
    </row>
    <row r="20">
      <c r="A20" t="s">
        <v>427</v>
      </c>
      <c r="B20" s="10">
        <f>B19/12</f>
        <v>135</v>
      </c>
    </row>
    <row r="21">
      <c r="A21" t="s">
        <v>428</v>
      </c>
      <c r="B21" s="52">
        <f>B5*MIN(B6,B8)*B7/B8</f>
        <v>1620</v>
      </c>
    </row>
    <row r="22">
      <c r="A22" t="s">
        <v>429</v>
      </c>
      <c r="B22" s="52">
        <f>B5*B8</f>
        <v>2160</v>
      </c>
    </row>
    <row r="24">
      <c r="A24" t="s">
        <v>430</v>
      </c>
      <c r="B24" s="33" t="str">
        <f>IF(B6&lt;B8,"LEAVING $"&amp;TEXT(B22-B21,"#,##0")&amp;" FREE MONEY ON THE TABLE — increase contribution to "&amp;TEXT(B8,"0%")&amp;" to capture full match","✅ Full match captured")</f>
        <v xml:space="preserve">LEAVING $540 FREE MONEY ON THE TABLE — increase contribution to 4% to capture full match</v>
      </c>
    </row>
    <row r="26">
      <c r="A26" t="s">
        <v>431</v>
      </c>
      <c r="B26" s="179">
        <f>B19/24</f>
        <v>67.5</v>
      </c>
    </row>
    <row r="27">
      <c r="A27" s="30" t="s">
        <v>432</v>
      </c>
    </row>
    <row r="29">
      <c r="A29" t="s">
        <v>433</v>
      </c>
      <c r="B29" s="183">
        <f>B19+B21</f>
        <v>3240</v>
      </c>
    </row>
    <row r="31" ht="13.9">
      <c r="A31" s="177" t="s">
        <v>434</v>
      </c>
      <c r="B31" s="175"/>
    </row>
    <row r="32">
      <c r="A32" t="s">
        <v>435</v>
      </c>
    </row>
    <row r="34">
      <c r="A34" t="s">
        <v>436</v>
      </c>
    </row>
    <row r="35">
      <c r="A35" t="s">
        <v>437</v>
      </c>
      <c r="B35" s="52">
        <f>FV(B12,60-B10,-B19-B21,-B9)</f>
        <v>317851.94300505437</v>
      </c>
    </row>
    <row r="36">
      <c r="A36" t="s">
        <v>438</v>
      </c>
      <c r="B36" s="52">
        <f>FV(B12,B16,-B19-B21,-B9)</f>
        <v>464436.18716049683</v>
      </c>
    </row>
    <row r="38">
      <c r="A38" t="s">
        <v>439</v>
      </c>
      <c r="B38" s="33"/>
    </row>
    <row r="39">
      <c r="A39" t="s">
        <v>437</v>
      </c>
      <c r="B39" s="52">
        <f>FV(B12,60-B10,-(B5*B8)-(B5*B8),-B9)</f>
        <v>419869.59223469713</v>
      </c>
    </row>
    <row r="40">
      <c r="A40" t="s">
        <v>438</v>
      </c>
      <c r="B40" s="52">
        <f>FV(B12,B16,-(B5*B8)-(B5*B8),-B9)</f>
        <v>613732.01578027778</v>
      </c>
    </row>
    <row r="42">
      <c r="A42" t="s">
        <v>440</v>
      </c>
      <c r="B42" s="33"/>
    </row>
    <row r="43">
      <c r="A43" t="s">
        <v>437</v>
      </c>
      <c r="B43" s="52">
        <f>FV(B12,60-B10,-(B5*0.1)-(B5*MIN(0.1,B8)*B7/B8),-B9)</f>
        <v>725922.5399236253</v>
      </c>
    </row>
    <row r="44">
      <c r="A44" t="s">
        <v>438</v>
      </c>
      <c r="B44" s="52">
        <f>FV(B12,B16,-(B5*0.1)-(B5*MIN(0.1,B8)*B7/B8),-B9)</f>
        <v>1061619.5016396206</v>
      </c>
    </row>
    <row r="46" ht="13.9">
      <c r="A46" s="177" t="s">
        <v>441</v>
      </c>
      <c r="B46" s="175"/>
    </row>
    <row r="47">
      <c r="A47" t="s">
        <v>442</v>
      </c>
      <c r="B47" s="178">
        <v>1000000</v>
      </c>
    </row>
    <row r="49">
      <c r="A49" t="s">
        <v>443</v>
      </c>
      <c r="B49" s="20">
        <f>-PMT(B12/12,B16*12,-B9,B47)</f>
        <v>545.32797837542716</v>
      </c>
    </row>
    <row r="50">
      <c r="A50" t="s">
        <v>444</v>
      </c>
      <c r="B50" s="21">
        <f>B49*12/B5</f>
        <v>0.12118399519453937</v>
      </c>
    </row>
    <row r="52">
      <c r="A52" s="30" t="s">
        <v>445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created xsi:type="dcterms:W3CDTF">2026-03-23T19:49:51Z</dcterms:created>
  <dcterms:modified xsi:type="dcterms:W3CDTF">2026-04-23T20:30:29Z</dcterms:modified>
  <cp:category/>
  <cp:contentStatus/>
</cp:coreProperties>
</file>